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uydhogeschool-my.sharepoint.com/personal/hans_sleijpen_zuyd_nl/Documents/HS Zuyd/Minor DataViz/"/>
    </mc:Choice>
  </mc:AlternateContent>
  <xr:revisionPtr revIDLastSave="0" documentId="8_{AB1A7928-491B-4DF5-A9AE-921858123C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ie" sheetId="5" r:id="rId1"/>
    <sheet name="Afrekeningsoverzicht" sheetId="1" r:id="rId2"/>
    <sheet name="Omzet&amp;Prijs" sheetId="2" r:id="rId3"/>
    <sheet name="Loonkosten" sheetId="3" r:id="rId4"/>
    <sheet name="Rassen" sheetId="4" r:id="rId5"/>
  </sheets>
  <definedNames>
    <definedName name="_xlnm._FilterDatabase" localSheetId="1" hidden="1">Afrekeningsoverzicht!$A$1:$Q$268</definedName>
    <definedName name="_xlnm._FilterDatabase" localSheetId="2" hidden="1">'Omzet&amp;Prijs'!$A$1:$E$57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1" i="1"/>
  <c r="N11" i="1" s="1"/>
  <c r="Q12" i="1"/>
  <c r="N12" i="1" s="1"/>
  <c r="Q13" i="1"/>
  <c r="N13" i="1" s="1"/>
  <c r="Q15" i="1"/>
  <c r="Q16" i="1"/>
  <c r="Q17" i="1"/>
  <c r="Q18" i="1"/>
  <c r="Q19" i="1"/>
  <c r="Q20" i="1"/>
  <c r="Q21" i="1"/>
  <c r="Q22" i="1"/>
  <c r="N22" i="1" s="1"/>
  <c r="Q23" i="1"/>
  <c r="Q24" i="1"/>
  <c r="Q25" i="1"/>
  <c r="Q26" i="1"/>
  <c r="Q27" i="1"/>
  <c r="Q28" i="1"/>
  <c r="Q30" i="1"/>
  <c r="Q31" i="1"/>
  <c r="Q32" i="1"/>
  <c r="Q33" i="1"/>
  <c r="Q34" i="1"/>
  <c r="Q35" i="1"/>
  <c r="Q36" i="1"/>
  <c r="Q37" i="1"/>
  <c r="Q39" i="1"/>
  <c r="N39" i="1" s="1"/>
  <c r="Q40" i="1"/>
  <c r="N40" i="1" s="1"/>
  <c r="Q41" i="1"/>
  <c r="N41" i="1" s="1"/>
  <c r="Q43" i="1"/>
  <c r="Q44" i="1"/>
  <c r="Q45" i="1"/>
  <c r="Q46" i="1"/>
  <c r="Q47" i="1"/>
  <c r="Q48" i="1"/>
  <c r="Q49" i="1"/>
  <c r="Q50" i="1"/>
  <c r="N50" i="1" s="1"/>
  <c r="Q51" i="1"/>
  <c r="Q52" i="1"/>
  <c r="Q53" i="1"/>
  <c r="Q54" i="1"/>
  <c r="Q56" i="1"/>
  <c r="Q57" i="1"/>
  <c r="Q58" i="1"/>
  <c r="Q59" i="1"/>
  <c r="Q60" i="1"/>
  <c r="Q61" i="1"/>
  <c r="Q62" i="1"/>
  <c r="Q63" i="1"/>
  <c r="Q64" i="1"/>
  <c r="Q65" i="1"/>
  <c r="Q66" i="1"/>
  <c r="Q68" i="1"/>
  <c r="N68" i="1" s="1"/>
  <c r="Q69" i="1"/>
  <c r="N69" i="1" s="1"/>
  <c r="Q70" i="1"/>
  <c r="N70" i="1" s="1"/>
  <c r="Q71" i="1"/>
  <c r="Q72" i="1"/>
  <c r="Q73" i="1"/>
  <c r="Q74" i="1"/>
  <c r="Q75" i="1"/>
  <c r="Q76" i="1"/>
  <c r="Q77" i="1"/>
  <c r="Q79" i="1"/>
  <c r="N79" i="1" s="1"/>
  <c r="Q80" i="1"/>
  <c r="Q81" i="1"/>
  <c r="Q83" i="1"/>
  <c r="Q85" i="1"/>
  <c r="Q87" i="1"/>
  <c r="Q88" i="1"/>
  <c r="Q89" i="1"/>
  <c r="Q90" i="1"/>
  <c r="Q91" i="1"/>
  <c r="Q92" i="1"/>
  <c r="Q93" i="1"/>
  <c r="Q94" i="1"/>
  <c r="Q95" i="1"/>
  <c r="Q96" i="1"/>
  <c r="Q97" i="1"/>
  <c r="Q98" i="1"/>
  <c r="Q100" i="1"/>
  <c r="N100" i="1" s="1"/>
  <c r="Q101" i="1"/>
  <c r="N101" i="1" s="1"/>
  <c r="Q102" i="1"/>
  <c r="N102" i="1" s="1"/>
  <c r="Q103" i="1"/>
  <c r="Q104" i="1"/>
  <c r="Q105" i="1"/>
  <c r="Q106" i="1"/>
  <c r="Q107" i="1"/>
  <c r="Q108" i="1"/>
  <c r="Q109" i="1"/>
  <c r="Q111" i="1"/>
  <c r="N111" i="1" s="1"/>
  <c r="Q112" i="1"/>
  <c r="Q113" i="1"/>
  <c r="Q115" i="1"/>
  <c r="Q116" i="1"/>
  <c r="Q117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3" i="1"/>
  <c r="N133" i="1" s="1"/>
  <c r="Q134" i="1"/>
  <c r="N134" i="1" s="1"/>
  <c r="Q135" i="1"/>
  <c r="N135" i="1" s="1"/>
  <c r="Q137" i="1"/>
  <c r="Q138" i="1"/>
  <c r="Q139" i="1"/>
  <c r="Q140" i="1"/>
  <c r="Q141" i="1"/>
  <c r="Q142" i="1"/>
  <c r="Q143" i="1"/>
  <c r="Q144" i="1"/>
  <c r="N144" i="1" s="1"/>
  <c r="Q145" i="1"/>
  <c r="Q146" i="1"/>
  <c r="Q147" i="1"/>
  <c r="Q148" i="1"/>
  <c r="Q149" i="1"/>
  <c r="Q150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7" i="1"/>
  <c r="N167" i="1" s="1"/>
  <c r="Q168" i="1"/>
  <c r="N168" i="1" s="1"/>
  <c r="Q169" i="1"/>
  <c r="N169" i="1" s="1"/>
  <c r="Q171" i="1"/>
  <c r="Q172" i="1"/>
  <c r="Q173" i="1"/>
  <c r="Q174" i="1"/>
  <c r="Q175" i="1"/>
  <c r="Q176" i="1"/>
  <c r="Q177" i="1"/>
  <c r="Q178" i="1"/>
  <c r="N178" i="1" s="1"/>
  <c r="Q179" i="1"/>
  <c r="K179" i="1" s="1"/>
  <c r="Q180" i="1"/>
  <c r="Q181" i="1"/>
  <c r="Q183" i="1"/>
  <c r="Q184" i="1"/>
  <c r="Q185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N202" i="1" s="1"/>
  <c r="Q203" i="1"/>
  <c r="Q204" i="1"/>
  <c r="N204" i="1" s="1"/>
  <c r="Q205" i="1"/>
  <c r="Q206" i="1"/>
  <c r="N206" i="1" s="1"/>
  <c r="Q207" i="1"/>
  <c r="N207" i="1" s="1"/>
  <c r="Q208" i="1"/>
  <c r="Q209" i="1"/>
  <c r="Q210" i="1"/>
  <c r="Q211" i="1"/>
  <c r="Q212" i="1"/>
  <c r="Q213" i="1"/>
  <c r="Q214" i="1"/>
  <c r="Q216" i="1"/>
  <c r="N216" i="1" s="1"/>
  <c r="Q217" i="1"/>
  <c r="K217" i="1" s="1"/>
  <c r="Q218" i="1"/>
  <c r="Q219" i="1"/>
  <c r="Q221" i="1"/>
  <c r="Q222" i="1"/>
  <c r="Q223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N240" i="1" s="1"/>
  <c r="Q241" i="1"/>
  <c r="Q242" i="1"/>
  <c r="N242" i="1" s="1"/>
  <c r="Q243" i="1"/>
  <c r="Q244" i="1"/>
  <c r="N244" i="1" s="1"/>
  <c r="Q245" i="1"/>
  <c r="N245" i="1" s="1"/>
  <c r="Q246" i="1"/>
  <c r="Q247" i="1"/>
  <c r="Q248" i="1"/>
  <c r="Q249" i="1"/>
  <c r="Q250" i="1"/>
  <c r="Q251" i="1"/>
  <c r="Q252" i="1"/>
  <c r="Q253" i="1"/>
  <c r="Q254" i="1"/>
  <c r="N254" i="1" s="1"/>
  <c r="Q255" i="1"/>
  <c r="K255" i="1" s="1"/>
  <c r="Q256" i="1"/>
  <c r="Q257" i="1"/>
  <c r="Q259" i="1"/>
  <c r="Q260" i="1"/>
  <c r="Q261" i="1"/>
  <c r="Q263" i="1"/>
  <c r="Q264" i="1"/>
  <c r="Q265" i="1"/>
  <c r="Q266" i="1"/>
  <c r="Q267" i="1"/>
  <c r="Q268" i="1"/>
  <c r="Q2" i="1"/>
  <c r="E57" i="2"/>
  <c r="E56" i="2"/>
  <c r="E55" i="2"/>
  <c r="E54" i="2"/>
  <c r="E52" i="2"/>
  <c r="E53" i="2"/>
  <c r="E51" i="2"/>
  <c r="E50" i="2"/>
  <c r="E49" i="2"/>
  <c r="E48" i="2"/>
  <c r="E46" i="2"/>
  <c r="E47" i="2"/>
  <c r="E45" i="2"/>
  <c r="E44" i="2"/>
  <c r="E43" i="2"/>
  <c r="E42" i="2"/>
  <c r="E41" i="2"/>
  <c r="E39" i="2"/>
  <c r="E40" i="2"/>
  <c r="E38" i="2"/>
  <c r="E37" i="2"/>
  <c r="E36" i="2"/>
  <c r="E35" i="2"/>
  <c r="E34" i="2"/>
  <c r="E33" i="2"/>
  <c r="E32" i="2"/>
  <c r="E31" i="2"/>
  <c r="E29" i="2"/>
  <c r="E28" i="2"/>
  <c r="E27" i="2"/>
  <c r="E26" i="2"/>
  <c r="E30" i="2"/>
  <c r="E25" i="2"/>
  <c r="E23" i="2"/>
  <c r="E22" i="2"/>
  <c r="E21" i="2"/>
  <c r="E20" i="2"/>
  <c r="E19" i="2"/>
  <c r="E18" i="2"/>
  <c r="E24" i="2"/>
  <c r="E17" i="2"/>
  <c r="E15" i="2"/>
  <c r="E14" i="2"/>
  <c r="E13" i="2"/>
  <c r="E12" i="2"/>
  <c r="E11" i="2"/>
  <c r="E10" i="2"/>
  <c r="E16" i="2"/>
  <c r="E9" i="2"/>
  <c r="E7" i="2"/>
  <c r="E6" i="2"/>
  <c r="E5" i="2"/>
  <c r="E4" i="2"/>
  <c r="E3" i="2"/>
  <c r="E8" i="2"/>
  <c r="E2" i="2"/>
  <c r="F262" i="1"/>
  <c r="Q262" i="1" s="1"/>
  <c r="F258" i="1"/>
  <c r="Q258" i="1" s="1"/>
  <c r="F239" i="1"/>
  <c r="F224" i="1"/>
  <c r="Q224" i="1" s="1"/>
  <c r="F220" i="1"/>
  <c r="Q220" i="1" s="1"/>
  <c r="F215" i="1"/>
  <c r="Q215" i="1" s="1"/>
  <c r="F201" i="1"/>
  <c r="F186" i="1"/>
  <c r="Q186" i="1" s="1"/>
  <c r="F182" i="1"/>
  <c r="Q182" i="1" s="1"/>
  <c r="F170" i="1"/>
  <c r="Q170" i="1" s="1"/>
  <c r="F166" i="1"/>
  <c r="Q166" i="1" s="1"/>
  <c r="F151" i="1"/>
  <c r="Q151" i="1" s="1"/>
  <c r="F147" i="1"/>
  <c r="F136" i="1"/>
  <c r="Q136" i="1" s="1"/>
  <c r="F132" i="1"/>
  <c r="Q132" i="1" s="1"/>
  <c r="F118" i="1"/>
  <c r="Q118" i="1" s="1"/>
  <c r="F114" i="1"/>
  <c r="Q114" i="1" s="1"/>
  <c r="F110" i="1"/>
  <c r="Q110" i="1" s="1"/>
  <c r="F103" i="1"/>
  <c r="F99" i="1"/>
  <c r="Q99" i="1" s="1"/>
  <c r="F86" i="1"/>
  <c r="Q86" i="1" s="1"/>
  <c r="F84" i="1"/>
  <c r="Q84" i="1" s="1"/>
  <c r="F82" i="1"/>
  <c r="Q82" i="1" s="1"/>
  <c r="F78" i="1"/>
  <c r="Q78" i="1" s="1"/>
  <c r="F71" i="1"/>
  <c r="F67" i="1"/>
  <c r="Q67" i="1" s="1"/>
  <c r="F57" i="1"/>
  <c r="F55" i="1"/>
  <c r="Q55" i="1" s="1"/>
  <c r="F53" i="1"/>
  <c r="F42" i="1"/>
  <c r="Q42" i="1" s="1"/>
  <c r="F38" i="1"/>
  <c r="Q38" i="1" s="1"/>
  <c r="F29" i="1"/>
  <c r="Q29" i="1" s="1"/>
  <c r="F25" i="1"/>
  <c r="F14" i="1"/>
  <c r="Q14" i="1" s="1"/>
  <c r="F10" i="1"/>
  <c r="Q10" i="1" s="1"/>
  <c r="M78" i="1" l="1"/>
  <c r="H78" i="1"/>
  <c r="L78" i="1"/>
  <c r="I78" i="1"/>
  <c r="P78" i="1"/>
  <c r="N78" i="1"/>
  <c r="J78" i="1"/>
  <c r="N82" i="1"/>
  <c r="I82" i="1"/>
  <c r="M82" i="1"/>
  <c r="H82" i="1"/>
  <c r="J82" i="1"/>
  <c r="P82" i="1"/>
  <c r="L82" i="1"/>
  <c r="O166" i="1"/>
  <c r="I166" i="1"/>
  <c r="K166" i="1"/>
  <c r="J166" i="1"/>
  <c r="P166" i="1"/>
  <c r="H166" i="1"/>
  <c r="N166" i="1"/>
  <c r="M84" i="1"/>
  <c r="H84" i="1"/>
  <c r="L84" i="1"/>
  <c r="P84" i="1"/>
  <c r="N84" i="1"/>
  <c r="J84" i="1"/>
  <c r="I84" i="1"/>
  <c r="O84" i="1"/>
  <c r="L110" i="1"/>
  <c r="J110" i="1"/>
  <c r="P110" i="1"/>
  <c r="I110" i="1"/>
  <c r="N110" i="1"/>
  <c r="N215" i="1"/>
  <c r="K215" i="1"/>
  <c r="J215" i="1"/>
  <c r="I215" i="1"/>
  <c r="P215" i="1"/>
  <c r="N258" i="1"/>
  <c r="P258" i="1"/>
  <c r="K258" i="1"/>
  <c r="J258" i="1"/>
  <c r="I258" i="1"/>
  <c r="O99" i="1"/>
  <c r="I99" i="1"/>
  <c r="N99" i="1"/>
  <c r="P99" i="1"/>
  <c r="L99" i="1"/>
  <c r="J99" i="1"/>
  <c r="L132" i="1"/>
  <c r="G132" i="1"/>
  <c r="P132" i="1"/>
  <c r="J132" i="1"/>
  <c r="O132" i="1"/>
  <c r="I132" i="1"/>
  <c r="H132" i="1"/>
  <c r="N132" i="1"/>
  <c r="M67" i="1"/>
  <c r="H67" i="1"/>
  <c r="L67" i="1"/>
  <c r="P67" i="1"/>
  <c r="N67" i="1"/>
  <c r="J67" i="1"/>
  <c r="I67" i="1"/>
  <c r="O67" i="1"/>
  <c r="J114" i="1"/>
  <c r="P114" i="1"/>
  <c r="I114" i="1"/>
  <c r="N114" i="1"/>
  <c r="L114" i="1"/>
  <c r="K182" i="1"/>
  <c r="J182" i="1"/>
  <c r="P182" i="1"/>
  <c r="N182" i="1"/>
  <c r="I182" i="1"/>
  <c r="H182" i="1"/>
  <c r="K220" i="1"/>
  <c r="J220" i="1"/>
  <c r="P220" i="1"/>
  <c r="N220" i="1"/>
  <c r="I220" i="1"/>
  <c r="P263" i="1"/>
  <c r="J263" i="1"/>
  <c r="O263" i="1"/>
  <c r="I263" i="1"/>
  <c r="N263" i="1"/>
  <c r="K263" i="1"/>
  <c r="N251" i="1"/>
  <c r="K251" i="1"/>
  <c r="P251" i="1"/>
  <c r="O251" i="1"/>
  <c r="J251" i="1"/>
  <c r="I251" i="1"/>
  <c r="N243" i="1"/>
  <c r="K243" i="1"/>
  <c r="P243" i="1"/>
  <c r="O243" i="1"/>
  <c r="J243" i="1"/>
  <c r="I243" i="1"/>
  <c r="N239" i="1"/>
  <c r="K239" i="1"/>
  <c r="J239" i="1"/>
  <c r="I239" i="1"/>
  <c r="P239" i="1"/>
  <c r="O239" i="1"/>
  <c r="P227" i="1"/>
  <c r="J227" i="1"/>
  <c r="O227" i="1"/>
  <c r="I227" i="1"/>
  <c r="N227" i="1"/>
  <c r="K227" i="1"/>
  <c r="N223" i="1"/>
  <c r="K223" i="1"/>
  <c r="P223" i="1"/>
  <c r="O223" i="1"/>
  <c r="J223" i="1"/>
  <c r="I223" i="1"/>
  <c r="N211" i="1"/>
  <c r="K211" i="1"/>
  <c r="J211" i="1"/>
  <c r="I211" i="1"/>
  <c r="P211" i="1"/>
  <c r="O211" i="1"/>
  <c r="P203" i="1"/>
  <c r="J203" i="1"/>
  <c r="O203" i="1"/>
  <c r="I203" i="1"/>
  <c r="N203" i="1"/>
  <c r="K203" i="1"/>
  <c r="P187" i="1"/>
  <c r="J187" i="1"/>
  <c r="O187" i="1"/>
  <c r="N187" i="1"/>
  <c r="K187" i="1"/>
  <c r="I187" i="1"/>
  <c r="H187" i="1"/>
  <c r="O175" i="1"/>
  <c r="I175" i="1"/>
  <c r="J175" i="1"/>
  <c r="P175" i="1"/>
  <c r="H175" i="1"/>
  <c r="N175" i="1"/>
  <c r="K175" i="1"/>
  <c r="J147" i="1"/>
  <c r="P147" i="1"/>
  <c r="H147" i="1"/>
  <c r="N147" i="1"/>
  <c r="G147" i="1"/>
  <c r="L147" i="1"/>
  <c r="I147" i="1"/>
  <c r="L143" i="1"/>
  <c r="I143" i="1"/>
  <c r="J143" i="1"/>
  <c r="P143" i="1"/>
  <c r="H143" i="1"/>
  <c r="G143" i="1"/>
  <c r="N143" i="1"/>
  <c r="L139" i="1"/>
  <c r="G139" i="1"/>
  <c r="P139" i="1"/>
  <c r="J139" i="1"/>
  <c r="O139" i="1"/>
  <c r="I139" i="1"/>
  <c r="N139" i="1"/>
  <c r="H139" i="1"/>
  <c r="L131" i="1"/>
  <c r="H131" i="1"/>
  <c r="P131" i="1"/>
  <c r="J131" i="1"/>
  <c r="O131" i="1"/>
  <c r="I131" i="1"/>
  <c r="N131" i="1"/>
  <c r="G131" i="1"/>
  <c r="N119" i="1"/>
  <c r="L119" i="1"/>
  <c r="J119" i="1"/>
  <c r="O119" i="1"/>
  <c r="P119" i="1"/>
  <c r="I119" i="1"/>
  <c r="L107" i="1"/>
  <c r="P107" i="1"/>
  <c r="J107" i="1"/>
  <c r="N107" i="1"/>
  <c r="I107" i="1"/>
  <c r="O107" i="1"/>
  <c r="M87" i="1"/>
  <c r="H87" i="1"/>
  <c r="P87" i="1"/>
  <c r="L87" i="1"/>
  <c r="N87" i="1"/>
  <c r="J87" i="1"/>
  <c r="I87" i="1"/>
  <c r="O87" i="1"/>
  <c r="M75" i="1"/>
  <c r="H75" i="1"/>
  <c r="P75" i="1"/>
  <c r="L75" i="1"/>
  <c r="N75" i="1"/>
  <c r="J75" i="1"/>
  <c r="I75" i="1"/>
  <c r="O75" i="1"/>
  <c r="P250" i="1"/>
  <c r="J250" i="1"/>
  <c r="O250" i="1"/>
  <c r="I250" i="1"/>
  <c r="N250" i="1"/>
  <c r="K250" i="1"/>
  <c r="P238" i="1"/>
  <c r="J238" i="1"/>
  <c r="O238" i="1"/>
  <c r="I238" i="1"/>
  <c r="N238" i="1"/>
  <c r="K238" i="1"/>
  <c r="N230" i="1"/>
  <c r="K230" i="1"/>
  <c r="P230" i="1"/>
  <c r="O230" i="1"/>
  <c r="J230" i="1"/>
  <c r="I230" i="1"/>
  <c r="N226" i="1"/>
  <c r="K226" i="1"/>
  <c r="J226" i="1"/>
  <c r="I226" i="1"/>
  <c r="P226" i="1"/>
  <c r="O226" i="1"/>
  <c r="P222" i="1"/>
  <c r="J222" i="1"/>
  <c r="O222" i="1"/>
  <c r="I222" i="1"/>
  <c r="N222" i="1"/>
  <c r="K222" i="1"/>
  <c r="N218" i="1"/>
  <c r="K218" i="1"/>
  <c r="J218" i="1"/>
  <c r="I218" i="1"/>
  <c r="P218" i="1"/>
  <c r="O218" i="1"/>
  <c r="P214" i="1"/>
  <c r="J214" i="1"/>
  <c r="O214" i="1"/>
  <c r="I214" i="1"/>
  <c r="N214" i="1"/>
  <c r="K214" i="1"/>
  <c r="P210" i="1"/>
  <c r="J210" i="1"/>
  <c r="O210" i="1"/>
  <c r="I210" i="1"/>
  <c r="N210" i="1"/>
  <c r="K210" i="1"/>
  <c r="N174" i="1"/>
  <c r="H174" i="1"/>
  <c r="K174" i="1"/>
  <c r="J174" i="1"/>
  <c r="P174" i="1"/>
  <c r="I174" i="1"/>
  <c r="O174" i="1"/>
  <c r="L154" i="1"/>
  <c r="G154" i="1"/>
  <c r="P154" i="1"/>
  <c r="J154" i="1"/>
  <c r="O154" i="1"/>
  <c r="I154" i="1"/>
  <c r="N154" i="1"/>
  <c r="H154" i="1"/>
  <c r="L150" i="1"/>
  <c r="G150" i="1"/>
  <c r="P150" i="1"/>
  <c r="J150" i="1"/>
  <c r="O150" i="1"/>
  <c r="I150" i="1"/>
  <c r="H150" i="1"/>
  <c r="N150" i="1"/>
  <c r="L142" i="1"/>
  <c r="G142" i="1"/>
  <c r="P142" i="1"/>
  <c r="J142" i="1"/>
  <c r="O142" i="1"/>
  <c r="I142" i="1"/>
  <c r="N142" i="1"/>
  <c r="H142" i="1"/>
  <c r="L138" i="1"/>
  <c r="G138" i="1"/>
  <c r="P138" i="1"/>
  <c r="J138" i="1"/>
  <c r="O138" i="1"/>
  <c r="I138" i="1"/>
  <c r="N138" i="1"/>
  <c r="H138" i="1"/>
  <c r="O106" i="1"/>
  <c r="I106" i="1"/>
  <c r="N106" i="1"/>
  <c r="J106" i="1"/>
  <c r="P106" i="1"/>
  <c r="L106" i="1"/>
  <c r="L98" i="1"/>
  <c r="P98" i="1"/>
  <c r="J98" i="1"/>
  <c r="N98" i="1"/>
  <c r="I98" i="1"/>
  <c r="O98" i="1"/>
  <c r="M74" i="1"/>
  <c r="H74" i="1"/>
  <c r="L74" i="1"/>
  <c r="P74" i="1"/>
  <c r="N74" i="1"/>
  <c r="J74" i="1"/>
  <c r="I74" i="1"/>
  <c r="O74" i="1"/>
  <c r="M66" i="1"/>
  <c r="H66" i="1"/>
  <c r="L66" i="1"/>
  <c r="P66" i="1"/>
  <c r="N66" i="1"/>
  <c r="J66" i="1"/>
  <c r="I66" i="1"/>
  <c r="O66" i="1"/>
  <c r="P265" i="1"/>
  <c r="J265" i="1"/>
  <c r="O265" i="1"/>
  <c r="I265" i="1"/>
  <c r="N265" i="1"/>
  <c r="K265" i="1"/>
  <c r="N261" i="1"/>
  <c r="K261" i="1"/>
  <c r="P261" i="1"/>
  <c r="O261" i="1"/>
  <c r="J261" i="1"/>
  <c r="I261" i="1"/>
  <c r="N249" i="1"/>
  <c r="K249" i="1"/>
  <c r="J249" i="1"/>
  <c r="I249" i="1"/>
  <c r="P249" i="1"/>
  <c r="O249" i="1"/>
  <c r="P241" i="1"/>
  <c r="J241" i="1"/>
  <c r="O241" i="1"/>
  <c r="I241" i="1"/>
  <c r="N241" i="1"/>
  <c r="K241" i="1"/>
  <c r="P225" i="1"/>
  <c r="J225" i="1"/>
  <c r="O225" i="1"/>
  <c r="I225" i="1"/>
  <c r="N225" i="1"/>
  <c r="K225" i="1"/>
  <c r="N213" i="1"/>
  <c r="K213" i="1"/>
  <c r="P213" i="1"/>
  <c r="O213" i="1"/>
  <c r="J213" i="1"/>
  <c r="I213" i="1"/>
  <c r="N205" i="1"/>
  <c r="K205" i="1"/>
  <c r="P205" i="1"/>
  <c r="O205" i="1"/>
  <c r="J205" i="1"/>
  <c r="I205" i="1"/>
  <c r="N201" i="1"/>
  <c r="K201" i="1"/>
  <c r="J201" i="1"/>
  <c r="I201" i="1"/>
  <c r="P201" i="1"/>
  <c r="O201" i="1"/>
  <c r="N189" i="1"/>
  <c r="H189" i="1"/>
  <c r="K189" i="1"/>
  <c r="P189" i="1"/>
  <c r="O189" i="1"/>
  <c r="J189" i="1"/>
  <c r="I189" i="1"/>
  <c r="O185" i="1"/>
  <c r="I185" i="1"/>
  <c r="P185" i="1"/>
  <c r="H185" i="1"/>
  <c r="N185" i="1"/>
  <c r="K185" i="1"/>
  <c r="J185" i="1"/>
  <c r="K177" i="1"/>
  <c r="I177" i="1"/>
  <c r="P177" i="1"/>
  <c r="H177" i="1"/>
  <c r="N177" i="1"/>
  <c r="J177" i="1"/>
  <c r="K173" i="1"/>
  <c r="O173" i="1"/>
  <c r="H173" i="1"/>
  <c r="N173" i="1"/>
  <c r="J173" i="1"/>
  <c r="P173" i="1"/>
  <c r="I173" i="1"/>
  <c r="O165" i="1"/>
  <c r="H165" i="1"/>
  <c r="P165" i="1"/>
  <c r="N165" i="1"/>
  <c r="J165" i="1"/>
  <c r="K165" i="1"/>
  <c r="I165" i="1"/>
  <c r="L157" i="1"/>
  <c r="G157" i="1"/>
  <c r="P157" i="1"/>
  <c r="J157" i="1"/>
  <c r="O157" i="1"/>
  <c r="I157" i="1"/>
  <c r="N157" i="1"/>
  <c r="H157" i="1"/>
  <c r="L153" i="1"/>
  <c r="G153" i="1"/>
  <c r="P153" i="1"/>
  <c r="J153" i="1"/>
  <c r="O153" i="1"/>
  <c r="I153" i="1"/>
  <c r="N153" i="1"/>
  <c r="H153" i="1"/>
  <c r="L149" i="1"/>
  <c r="G149" i="1"/>
  <c r="P149" i="1"/>
  <c r="J149" i="1"/>
  <c r="O149" i="1"/>
  <c r="I149" i="1"/>
  <c r="N149" i="1"/>
  <c r="H149" i="1"/>
  <c r="L145" i="1"/>
  <c r="G145" i="1"/>
  <c r="P145" i="1"/>
  <c r="J145" i="1"/>
  <c r="O145" i="1"/>
  <c r="I145" i="1"/>
  <c r="H145" i="1"/>
  <c r="N145" i="1"/>
  <c r="L141" i="1"/>
  <c r="G141" i="1"/>
  <c r="P141" i="1"/>
  <c r="J141" i="1"/>
  <c r="O141" i="1"/>
  <c r="I141" i="1"/>
  <c r="H141" i="1"/>
  <c r="N141" i="1"/>
  <c r="O121" i="1"/>
  <c r="N121" i="1"/>
  <c r="L121" i="1"/>
  <c r="P121" i="1"/>
  <c r="I121" i="1"/>
  <c r="J121" i="1"/>
  <c r="O117" i="1"/>
  <c r="I117" i="1"/>
  <c r="N117" i="1"/>
  <c r="P117" i="1"/>
  <c r="L117" i="1"/>
  <c r="J117" i="1"/>
  <c r="L109" i="1"/>
  <c r="P109" i="1"/>
  <c r="J109" i="1"/>
  <c r="O109" i="1"/>
  <c r="N109" i="1"/>
  <c r="I109" i="1"/>
  <c r="L105" i="1"/>
  <c r="P105" i="1"/>
  <c r="J105" i="1"/>
  <c r="O105" i="1"/>
  <c r="N105" i="1"/>
  <c r="I105" i="1"/>
  <c r="M89" i="1"/>
  <c r="H89" i="1"/>
  <c r="P89" i="1"/>
  <c r="L89" i="1"/>
  <c r="N89" i="1"/>
  <c r="J89" i="1"/>
  <c r="I89" i="1"/>
  <c r="O89" i="1"/>
  <c r="M85" i="1"/>
  <c r="H85" i="1"/>
  <c r="L85" i="1"/>
  <c r="P85" i="1"/>
  <c r="N85" i="1"/>
  <c r="J85" i="1"/>
  <c r="I85" i="1"/>
  <c r="O85" i="1"/>
  <c r="M77" i="1"/>
  <c r="H77" i="1"/>
  <c r="L77" i="1"/>
  <c r="P77" i="1"/>
  <c r="N77" i="1"/>
  <c r="J77" i="1"/>
  <c r="I77" i="1"/>
  <c r="O77" i="1"/>
  <c r="M73" i="1"/>
  <c r="H73" i="1"/>
  <c r="L73" i="1"/>
  <c r="P73" i="1"/>
  <c r="N73" i="1"/>
  <c r="J73" i="1"/>
  <c r="I73" i="1"/>
  <c r="O73" i="1"/>
  <c r="N268" i="1"/>
  <c r="K268" i="1"/>
  <c r="P268" i="1"/>
  <c r="O268" i="1"/>
  <c r="J268" i="1"/>
  <c r="I268" i="1"/>
  <c r="N264" i="1"/>
  <c r="K264" i="1"/>
  <c r="J264" i="1"/>
  <c r="I264" i="1"/>
  <c r="P264" i="1"/>
  <c r="O264" i="1"/>
  <c r="P260" i="1"/>
  <c r="J260" i="1"/>
  <c r="O260" i="1"/>
  <c r="I260" i="1"/>
  <c r="N260" i="1"/>
  <c r="K260" i="1"/>
  <c r="N256" i="1"/>
  <c r="K256" i="1"/>
  <c r="J256" i="1"/>
  <c r="I256" i="1"/>
  <c r="P256" i="1"/>
  <c r="O256" i="1"/>
  <c r="P252" i="1"/>
  <c r="J252" i="1"/>
  <c r="O252" i="1"/>
  <c r="I252" i="1"/>
  <c r="N252" i="1"/>
  <c r="K252" i="1"/>
  <c r="P248" i="1"/>
  <c r="J248" i="1"/>
  <c r="O248" i="1"/>
  <c r="I248" i="1"/>
  <c r="N248" i="1"/>
  <c r="K248" i="1"/>
  <c r="P212" i="1"/>
  <c r="J212" i="1"/>
  <c r="O212" i="1"/>
  <c r="I212" i="1"/>
  <c r="N212" i="1"/>
  <c r="K212" i="1"/>
  <c r="O200" i="1"/>
  <c r="J200" i="1"/>
  <c r="P200" i="1"/>
  <c r="I200" i="1"/>
  <c r="N200" i="1"/>
  <c r="K200" i="1"/>
  <c r="O192" i="1"/>
  <c r="I192" i="1"/>
  <c r="N192" i="1"/>
  <c r="H192" i="1"/>
  <c r="P192" i="1"/>
  <c r="K192" i="1"/>
  <c r="J192" i="1"/>
  <c r="K188" i="1"/>
  <c r="P188" i="1"/>
  <c r="J188" i="1"/>
  <c r="O188" i="1"/>
  <c r="N188" i="1"/>
  <c r="I188" i="1"/>
  <c r="H188" i="1"/>
  <c r="N184" i="1"/>
  <c r="H184" i="1"/>
  <c r="J184" i="1"/>
  <c r="P184" i="1"/>
  <c r="I184" i="1"/>
  <c r="O184" i="1"/>
  <c r="K184" i="1"/>
  <c r="K180" i="1"/>
  <c r="N180" i="1"/>
  <c r="J180" i="1"/>
  <c r="P180" i="1"/>
  <c r="I180" i="1"/>
  <c r="H180" i="1"/>
  <c r="O180" i="1"/>
  <c r="P176" i="1"/>
  <c r="J176" i="1"/>
  <c r="O176" i="1"/>
  <c r="H176" i="1"/>
  <c r="N176" i="1"/>
  <c r="K176" i="1"/>
  <c r="I176" i="1"/>
  <c r="P172" i="1"/>
  <c r="J172" i="1"/>
  <c r="I172" i="1"/>
  <c r="O172" i="1"/>
  <c r="H172" i="1"/>
  <c r="N172" i="1"/>
  <c r="K172" i="1"/>
  <c r="L152" i="1"/>
  <c r="G152" i="1"/>
  <c r="P152" i="1"/>
  <c r="J152" i="1"/>
  <c r="O152" i="1"/>
  <c r="I152" i="1"/>
  <c r="N152" i="1"/>
  <c r="H152" i="1"/>
  <c r="L140" i="1"/>
  <c r="G140" i="1"/>
  <c r="P140" i="1"/>
  <c r="J140" i="1"/>
  <c r="O140" i="1"/>
  <c r="I140" i="1"/>
  <c r="N140" i="1"/>
  <c r="H140" i="1"/>
  <c r="P120" i="1"/>
  <c r="J120" i="1"/>
  <c r="O120" i="1"/>
  <c r="I120" i="1"/>
  <c r="N120" i="1"/>
  <c r="L120" i="1"/>
  <c r="L116" i="1"/>
  <c r="P116" i="1"/>
  <c r="J116" i="1"/>
  <c r="N116" i="1"/>
  <c r="I116" i="1"/>
  <c r="O116" i="1"/>
  <c r="O112" i="1"/>
  <c r="I112" i="1"/>
  <c r="N112" i="1"/>
  <c r="J112" i="1"/>
  <c r="P112" i="1"/>
  <c r="L112" i="1"/>
  <c r="O108" i="1"/>
  <c r="I108" i="1"/>
  <c r="N108" i="1"/>
  <c r="P108" i="1"/>
  <c r="L108" i="1"/>
  <c r="J108" i="1"/>
  <c r="M88" i="1"/>
  <c r="H88" i="1"/>
  <c r="P88" i="1"/>
  <c r="L88" i="1"/>
  <c r="N88" i="1"/>
  <c r="J88" i="1"/>
  <c r="I88" i="1"/>
  <c r="O88" i="1"/>
  <c r="M80" i="1"/>
  <c r="H80" i="1"/>
  <c r="L80" i="1"/>
  <c r="P80" i="1"/>
  <c r="N80" i="1"/>
  <c r="J80" i="1"/>
  <c r="I80" i="1"/>
  <c r="O80" i="1"/>
  <c r="M76" i="1"/>
  <c r="H76" i="1"/>
  <c r="P76" i="1"/>
  <c r="L76" i="1"/>
  <c r="N76" i="1"/>
  <c r="J76" i="1"/>
  <c r="I76" i="1"/>
  <c r="O76" i="1"/>
  <c r="N58" i="1"/>
  <c r="I58" i="1"/>
  <c r="M58" i="1"/>
  <c r="H58" i="1"/>
  <c r="P58" i="1"/>
  <c r="L58" i="1"/>
  <c r="O58" i="1"/>
  <c r="J58" i="1"/>
  <c r="P46" i="1"/>
  <c r="L46" i="1"/>
  <c r="N46" i="1"/>
  <c r="M46" i="1"/>
  <c r="O46" i="1"/>
  <c r="J46" i="1"/>
  <c r="I46" i="1"/>
  <c r="N53" i="1"/>
  <c r="H53" i="1"/>
  <c r="M53" i="1"/>
  <c r="I53" i="1"/>
  <c r="L53" i="1"/>
  <c r="P53" i="1"/>
  <c r="J53" i="1"/>
  <c r="P49" i="1"/>
  <c r="J49" i="1"/>
  <c r="I49" i="1"/>
  <c r="N49" i="1"/>
  <c r="M49" i="1"/>
  <c r="H49" i="1"/>
  <c r="L49" i="1"/>
  <c r="N45" i="1"/>
  <c r="I45" i="1"/>
  <c r="M45" i="1"/>
  <c r="H45" i="1"/>
  <c r="P45" i="1"/>
  <c r="L45" i="1"/>
  <c r="O45" i="1"/>
  <c r="J45" i="1"/>
  <c r="O37" i="1"/>
  <c r="J37" i="1"/>
  <c r="N37" i="1"/>
  <c r="H37" i="1"/>
  <c r="M37" i="1"/>
  <c r="P37" i="1"/>
  <c r="L37" i="1"/>
  <c r="I37" i="1"/>
  <c r="J38" i="1"/>
  <c r="O38" i="1"/>
  <c r="L38" i="1"/>
  <c r="H38" i="1"/>
  <c r="M38" i="1"/>
  <c r="I38" i="1"/>
  <c r="N38" i="1"/>
  <c r="P38" i="1"/>
  <c r="N56" i="1"/>
  <c r="I56" i="1"/>
  <c r="M56" i="1"/>
  <c r="H56" i="1"/>
  <c r="P56" i="1"/>
  <c r="L56" i="1"/>
  <c r="O56" i="1"/>
  <c r="J56" i="1"/>
  <c r="N48" i="1"/>
  <c r="I48" i="1"/>
  <c r="M48" i="1"/>
  <c r="H48" i="1"/>
  <c r="P48" i="1"/>
  <c r="L48" i="1"/>
  <c r="O48" i="1"/>
  <c r="J48" i="1"/>
  <c r="N44" i="1"/>
  <c r="I44" i="1"/>
  <c r="M44" i="1"/>
  <c r="H44" i="1"/>
  <c r="P44" i="1"/>
  <c r="L44" i="1"/>
  <c r="O44" i="1"/>
  <c r="J44" i="1"/>
  <c r="N55" i="1"/>
  <c r="I55" i="1"/>
  <c r="M55" i="1"/>
  <c r="H55" i="1"/>
  <c r="P55" i="1"/>
  <c r="L55" i="1"/>
  <c r="O55" i="1"/>
  <c r="J55" i="1"/>
  <c r="P51" i="1"/>
  <c r="L51" i="1"/>
  <c r="M51" i="1"/>
  <c r="O51" i="1"/>
  <c r="J51" i="1"/>
  <c r="I51" i="1"/>
  <c r="N51" i="1"/>
  <c r="N47" i="1"/>
  <c r="I47" i="1"/>
  <c r="M47" i="1"/>
  <c r="H47" i="1"/>
  <c r="P47" i="1"/>
  <c r="L47" i="1"/>
  <c r="O47" i="1"/>
  <c r="J47" i="1"/>
  <c r="J10" i="1"/>
  <c r="O10" i="1"/>
  <c r="L10" i="1"/>
  <c r="P10" i="1"/>
  <c r="M10" i="1"/>
  <c r="I10" i="1"/>
  <c r="N10" i="1"/>
  <c r="N25" i="1"/>
  <c r="I25" i="1"/>
  <c r="L25" i="1"/>
  <c r="P25" i="1"/>
  <c r="M25" i="1"/>
  <c r="J25" i="1"/>
  <c r="N17" i="1"/>
  <c r="I17" i="1"/>
  <c r="M17" i="1"/>
  <c r="P17" i="1"/>
  <c r="L17" i="1"/>
  <c r="O17" i="1"/>
  <c r="J17" i="1"/>
  <c r="P28" i="1"/>
  <c r="L28" i="1"/>
  <c r="N28" i="1"/>
  <c r="I28" i="1"/>
  <c r="O28" i="1"/>
  <c r="J28" i="1"/>
  <c r="M28" i="1"/>
  <c r="M20" i="1"/>
  <c r="O20" i="1"/>
  <c r="J20" i="1"/>
  <c r="I20" i="1"/>
  <c r="P20" i="1"/>
  <c r="L20" i="1"/>
  <c r="N20" i="1"/>
  <c r="M16" i="1"/>
  <c r="P16" i="1"/>
  <c r="L16" i="1"/>
  <c r="O16" i="1"/>
  <c r="J16" i="1"/>
  <c r="N16" i="1"/>
  <c r="I16" i="1"/>
  <c r="O18" i="1"/>
  <c r="J18" i="1"/>
  <c r="N18" i="1"/>
  <c r="I18" i="1"/>
  <c r="M18" i="1"/>
  <c r="P18" i="1"/>
  <c r="L18" i="1"/>
  <c r="L21" i="1"/>
  <c r="N21" i="1"/>
  <c r="I21" i="1"/>
  <c r="M21" i="1"/>
  <c r="P21" i="1"/>
  <c r="J21" i="1"/>
  <c r="M9" i="1"/>
  <c r="P9" i="1"/>
  <c r="L9" i="1"/>
  <c r="O9" i="1"/>
  <c r="N9" i="1"/>
  <c r="J9" i="1"/>
  <c r="I9" i="1"/>
  <c r="O27" i="1"/>
  <c r="J27" i="1"/>
  <c r="M27" i="1"/>
  <c r="P27" i="1"/>
  <c r="L27" i="1"/>
  <c r="N27" i="1"/>
  <c r="I27" i="1"/>
  <c r="N23" i="1"/>
  <c r="I23" i="1"/>
  <c r="P23" i="1"/>
  <c r="L23" i="1"/>
  <c r="J23" i="1"/>
  <c r="M23" i="1"/>
  <c r="O23" i="1"/>
  <c r="P19" i="1"/>
  <c r="L19" i="1"/>
  <c r="J19" i="1"/>
  <c r="N19" i="1"/>
  <c r="I19" i="1"/>
  <c r="O19" i="1"/>
  <c r="M19" i="1"/>
</calcChain>
</file>

<file path=xl/sharedStrings.xml><?xml version="1.0" encoding="utf-8"?>
<sst xmlns="http://schemas.openxmlformats.org/spreadsheetml/2006/main" count="3118" uniqueCount="199">
  <si>
    <t>Oogstdatum</t>
  </si>
  <si>
    <t>Oogstjaar</t>
  </si>
  <si>
    <t>Perceel</t>
  </si>
  <si>
    <t>Ras</t>
  </si>
  <si>
    <t>Tonnen</t>
  </si>
  <si>
    <t>Koeling of</t>
  </si>
  <si>
    <t>Datum laatste bespuiting</t>
  </si>
  <si>
    <t>Middel en dosering/ha</t>
  </si>
  <si>
    <t>Veiligheidstermijn (dgn.)</t>
  </si>
  <si>
    <t>Opmerkingen</t>
  </si>
  <si>
    <t>Elstar</t>
  </si>
  <si>
    <t>Afgezet</t>
  </si>
  <si>
    <t>Bellis 0,8 kg/ha</t>
  </si>
  <si>
    <t>2b</t>
  </si>
  <si>
    <t>Koeling</t>
  </si>
  <si>
    <t>Golden</t>
  </si>
  <si>
    <t>2a</t>
  </si>
  <si>
    <t>2c</t>
  </si>
  <si>
    <t>Captan 1,0 kg/ha</t>
  </si>
  <si>
    <t>2ab,3,5,6</t>
  </si>
  <si>
    <t>Kroet</t>
  </si>
  <si>
    <t>Joly-Red</t>
  </si>
  <si>
    <t>2ab,4</t>
  </si>
  <si>
    <t>4 en 6</t>
  </si>
  <si>
    <t>Junami</t>
  </si>
  <si>
    <t>elstar</t>
  </si>
  <si>
    <t xml:space="preserve">koeling  </t>
  </si>
  <si>
    <t>Bellis 0,8 kg</t>
  </si>
  <si>
    <t>golden</t>
  </si>
  <si>
    <t>Switch 0,8 kg</t>
  </si>
  <si>
    <t>2a-b</t>
  </si>
  <si>
    <t>kroet</t>
  </si>
  <si>
    <t>afgezet</t>
  </si>
  <si>
    <t>Joly-red</t>
  </si>
  <si>
    <t>4 – 6</t>
  </si>
  <si>
    <t>junami</t>
  </si>
  <si>
    <t>4a-5-6</t>
  </si>
  <si>
    <t>4a verhageld/23-06</t>
  </si>
  <si>
    <t>4a-2c</t>
  </si>
  <si>
    <t>Captan 1,5</t>
  </si>
  <si>
    <t>3 verhageld/23-06</t>
  </si>
  <si>
    <t>2c-5</t>
  </si>
  <si>
    <t>Zari</t>
  </si>
  <si>
    <t>1,5kg captan w7</t>
  </si>
  <si>
    <t>0,6kg captan w6</t>
  </si>
  <si>
    <t>14-aug</t>
  </si>
  <si>
    <t>koeling</t>
  </si>
  <si>
    <t>2b/c</t>
  </si>
  <si>
    <t>2b/4</t>
  </si>
  <si>
    <t>2c/4</t>
  </si>
  <si>
    <t>braeburn</t>
  </si>
  <si>
    <t>4a</t>
  </si>
  <si>
    <t>jonagored</t>
  </si>
  <si>
    <t>1/3/4a/5/6</t>
  </si>
  <si>
    <t>Captan 0,7 kg/ha</t>
  </si>
  <si>
    <t>7 dgn</t>
  </si>
  <si>
    <t>1-2b-2c</t>
  </si>
  <si>
    <t>Switch 0,8 kg/ha</t>
  </si>
  <si>
    <t>Bestuivers. Voor besp. Geplukt</t>
  </si>
  <si>
    <t>Braeburn</t>
  </si>
  <si>
    <t>Jonagored</t>
  </si>
  <si>
    <t>zari</t>
  </si>
  <si>
    <t>captan 1.5 kg</t>
  </si>
  <si>
    <t>captan 0,6kg</t>
  </si>
  <si>
    <t>moes</t>
  </si>
  <si>
    <t>1 en 5</t>
  </si>
  <si>
    <t>captan 1,2kg</t>
  </si>
  <si>
    <t>1-2b-3-5</t>
  </si>
  <si>
    <t>switsch 0,8kg</t>
  </si>
  <si>
    <t>2a-2b-3</t>
  </si>
  <si>
    <t>2b-2c-3-4a-5</t>
  </si>
  <si>
    <t>4a-5</t>
  </si>
  <si>
    <t>2c-4a</t>
  </si>
  <si>
    <t>captan 0,7kg</t>
  </si>
  <si>
    <t>2b en 3</t>
  </si>
  <si>
    <t>2b,3en5</t>
  </si>
  <si>
    <t>2a,2ben4</t>
  </si>
  <si>
    <t>jonasupra</t>
  </si>
  <si>
    <t>2c,3,4,4a</t>
  </si>
  <si>
    <t>1 en 2a</t>
  </si>
  <si>
    <t>2c en 5</t>
  </si>
  <si>
    <t>5 en 2c</t>
  </si>
  <si>
    <t>1,2a,2c,4a en 5</t>
  </si>
  <si>
    <t>2c,4,4a en 5</t>
  </si>
  <si>
    <t>2c en 4</t>
  </si>
  <si>
    <t>delcorf</t>
  </si>
  <si>
    <t>captan 1,2kg/ha</t>
  </si>
  <si>
    <t>bellis 0,8 kg/ha</t>
  </si>
  <si>
    <t>captan 0,6kg/ha</t>
  </si>
  <si>
    <t>bestuivers</t>
  </si>
  <si>
    <t>2a en 2b</t>
  </si>
  <si>
    <t>2b-en 3</t>
  </si>
  <si>
    <t>switch 0,8kg/ha</t>
  </si>
  <si>
    <t>2c,4 en 5</t>
  </si>
  <si>
    <t>captan 1,5kg/ha</t>
  </si>
  <si>
    <t>delcorf(verhageld)</t>
  </si>
  <si>
    <t>1 en 3</t>
  </si>
  <si>
    <t>elstar(verhageld)</t>
  </si>
  <si>
    <t>bellis 0,8kg/ha</t>
  </si>
  <si>
    <t>1 en 2b</t>
  </si>
  <si>
    <t>2a/2c</t>
  </si>
  <si>
    <t>Categorie</t>
  </si>
  <si>
    <t>Subcategorie</t>
  </si>
  <si>
    <t>Rekening</t>
  </si>
  <si>
    <t>Omschrijving</t>
  </si>
  <si>
    <t>Boekjaar</t>
  </si>
  <si>
    <t>Bedrag</t>
  </si>
  <si>
    <t>OOP Breaburn</t>
  </si>
  <si>
    <t>OOP Delcorf</t>
  </si>
  <si>
    <t>OOP Elstar</t>
  </si>
  <si>
    <t>OOP Golden</t>
  </si>
  <si>
    <t>OOP Joly-Red</t>
  </si>
  <si>
    <t>OOP Jonagold</t>
  </si>
  <si>
    <t>OOP Jonagored</t>
  </si>
  <si>
    <t>OOP Junami</t>
  </si>
  <si>
    <t>OOP kroet/industrie appels</t>
  </si>
  <si>
    <t>OOP Milwa</t>
  </si>
  <si>
    <t>Bedrag Genormaliseerd</t>
  </si>
  <si>
    <t>Aanvoer</t>
  </si>
  <si>
    <t>Opbrengsten</t>
  </si>
  <si>
    <t>Omzet</t>
  </si>
  <si>
    <t>Productomzet</t>
  </si>
  <si>
    <t>Balans</t>
  </si>
  <si>
    <t>Fust</t>
  </si>
  <si>
    <t>Fust eenmalig</t>
  </si>
  <si>
    <t>Fust meermalig</t>
  </si>
  <si>
    <t>Fust huur terugbet.</t>
  </si>
  <si>
    <t>Verpakking</t>
  </si>
  <si>
    <t>Verpakkingskosten</t>
  </si>
  <si>
    <t>Pallet</t>
  </si>
  <si>
    <t>Pallet eenmalig</t>
  </si>
  <si>
    <t>Pallet meermalig</t>
  </si>
  <si>
    <t>Kosten</t>
  </si>
  <si>
    <t>Productheffing</t>
  </si>
  <si>
    <t>Provisie</t>
  </si>
  <si>
    <t>Provisie lid</t>
  </si>
  <si>
    <t>Royalty Junami</t>
  </si>
  <si>
    <t>Royaltykst Junami</t>
  </si>
  <si>
    <t>Promotie Junami</t>
  </si>
  <si>
    <t>Promotiekst Junami</t>
  </si>
  <si>
    <t>Productheffing Junami</t>
  </si>
  <si>
    <t>Heffingskst Junami</t>
  </si>
  <si>
    <t>Fust m.m. Ingel. Aanvo.</t>
  </si>
  <si>
    <t>Voorschot Junami</t>
  </si>
  <si>
    <t>Administratie</t>
  </si>
  <si>
    <t>Aanvoerboek</t>
  </si>
  <si>
    <t>Administratiekosten</t>
  </si>
  <si>
    <t>Analyse</t>
  </si>
  <si>
    <t>Analysekosten</t>
  </si>
  <si>
    <t>Preventie</t>
  </si>
  <si>
    <t>Crisispreventie</t>
  </si>
  <si>
    <t>Fustbon</t>
  </si>
  <si>
    <t>Koelen</t>
  </si>
  <si>
    <t>Koelloon</t>
  </si>
  <si>
    <t>Algemeen Junami</t>
  </si>
  <si>
    <t>Kosten Junami</t>
  </si>
  <si>
    <t>Algemeen</t>
  </si>
  <si>
    <t>Onvoorziene kosten</t>
  </si>
  <si>
    <t>Bonus</t>
  </si>
  <si>
    <t>Resultaatbonus</t>
  </si>
  <si>
    <t>Sorteren</t>
  </si>
  <si>
    <t>Sorteerkosten</t>
  </si>
  <si>
    <t>Etiketteren</t>
  </si>
  <si>
    <t>Stikkeren</t>
  </si>
  <si>
    <t>Touw</t>
  </si>
  <si>
    <t>Zorgsystemen</t>
  </si>
  <si>
    <t>BTW</t>
  </si>
  <si>
    <t>Touw/diverse</t>
  </si>
  <si>
    <t>Vracht</t>
  </si>
  <si>
    <t>vrachtkosten</t>
  </si>
  <si>
    <t>contributie leden</t>
  </si>
  <si>
    <t>Smart Fresh</t>
  </si>
  <si>
    <t>kst smart fresh</t>
  </si>
  <si>
    <t>verkoopmarge junami</t>
  </si>
  <si>
    <t>Aankopen</t>
  </si>
  <si>
    <t>bomen aankoop</t>
  </si>
  <si>
    <t>Opslag</t>
  </si>
  <si>
    <t>opslag voorraadbakken</t>
  </si>
  <si>
    <t>Algemeen Joly-Red</t>
  </si>
  <si>
    <t>kosten joly-red</t>
  </si>
  <si>
    <t>Algemeen Inova</t>
  </si>
  <si>
    <t>organisatiekostem inova</t>
  </si>
  <si>
    <t>Marketing Junami</t>
  </si>
  <si>
    <t>marketingkstn junami</t>
  </si>
  <si>
    <t>Algemeen Marketing</t>
  </si>
  <si>
    <t>internale marketingskst</t>
  </si>
  <si>
    <t>Hoeveelheid (kg)</t>
  </si>
  <si>
    <t>Prijs per kg.</t>
  </si>
  <si>
    <t>Milwa</t>
  </si>
  <si>
    <t>Het ras Milwa is de 2de klasse van Junami hoort dus bij Junami.</t>
  </si>
  <si>
    <t>Het ras jonagored is jonagold</t>
  </si>
  <si>
    <t>Jonagold</t>
  </si>
  <si>
    <t>kroet/industrie appels</t>
  </si>
  <si>
    <t>Delcorf</t>
  </si>
  <si>
    <t>Breaburn</t>
  </si>
  <si>
    <t>Loonkosten</t>
  </si>
  <si>
    <t>brutoloon</t>
  </si>
  <si>
    <t>vergoeding premie ZVW</t>
  </si>
  <si>
    <t>sociale lasten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</si>
</sst>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€-413]&quot; &quot;#,##0.00;[Red][$€-413]&quot; &quot;#,##0.00&quot;-&quot;"/>
    <numFmt numFmtId="165" formatCode="_([$€-2]\ * #,##0.00_);_([$€-2]\ * \(#,##0.00\);_([$€-2]\ * &quot;-&quot;??_);_(@_)"/>
    <numFmt numFmtId="166" formatCode="_ [$€-413]\ * #,##0.00_ ;_ [$€-413]\ * \-#,##0.00_ ;_ [$€-413]\ * &quot;-&quot;??_ ;_ @_ "/>
    <numFmt numFmtId="167" formatCode="_ [$€-413]\ * #,##0_ ;_ [$€-413]\ * \-#,##0_ ;_ [$€-413]\ * &quot;-&quot;??_ ;_ @_ "/>
    <numFmt numFmtId="168" formatCode="dd\-mmm"/>
    <numFmt numFmtId="169" formatCode="dd\-mm\-yy"/>
  </numFmts>
  <fonts count="6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25">
    <xf numFmtId="0" fontId="0" fillId="0" borderId="0" xfId="0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0" borderId="0" xfId="0" applyFont="1"/>
    <xf numFmtId="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165" fontId="0" fillId="2" borderId="0" xfId="0" applyNumberFormat="1" applyFill="1"/>
    <xf numFmtId="0" fontId="0" fillId="0" borderId="1" xfId="0" applyBorder="1"/>
    <xf numFmtId="166" fontId="0" fillId="0" borderId="1" xfId="0" applyNumberFormat="1" applyBorder="1"/>
    <xf numFmtId="165" fontId="0" fillId="0" borderId="1" xfId="0" applyNumberFormat="1" applyBorder="1"/>
    <xf numFmtId="165" fontId="4" fillId="0" borderId="0" xfId="0" applyNumberFormat="1" applyFont="1"/>
    <xf numFmtId="165" fontId="4" fillId="0" borderId="1" xfId="0" applyNumberFormat="1" applyFont="1" applyBorder="1"/>
    <xf numFmtId="49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right"/>
    </xf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9" fontId="5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168" fontId="5" fillId="0" borderId="0" xfId="0" applyNumberFormat="1" applyFont="1" applyAlignment="1">
      <alignment horizontal="right"/>
    </xf>
    <xf numFmtId="49" fontId="0" fillId="0" borderId="0" xfId="0" applyNumberFormat="1"/>
  </cellXfs>
  <cellStyles count="5">
    <cellStyle name="Heading" xfId="1" xr:uid="{00000000-0005-0000-0000-000000000000}"/>
    <cellStyle name="Heading1" xfId="2" xr:uid="{00000000-0005-0000-0000-000001000000}"/>
    <cellStyle name="Result" xfId="3" xr:uid="{00000000-0005-0000-0000-000002000000}"/>
    <cellStyle name="Result2" xfId="4" xr:uid="{00000000-0005-0000-0000-000003000000}"/>
    <cellStyle name="Standaard" xfId="0" builtinId="0" customBuiltin="1"/>
  </cellStyles>
  <dxfs count="12">
    <dxf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68" formatCode="dd\-mmm"/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8" formatCode="dd\-mmm"/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5B662E-77C1-493F-BCBA-6D6F7A451528}" name="Tabel1" displayName="Tabel1" ref="A1:J523" totalsRowShown="0" headerRowDxfId="11" dataDxfId="10">
  <autoFilter ref="A1:J523" xr:uid="{B85B662E-77C1-493F-BCBA-6D6F7A451528}"/>
  <tableColumns count="10">
    <tableColumn id="1" xr3:uid="{0AB1D830-1166-414E-A223-3004E0691508}" name="Oogstdatum" dataDxfId="9"/>
    <tableColumn id="2" xr3:uid="{F77358C0-941F-4A86-8A2E-6D3DBCD9974B}" name="Oogstjaar" dataDxfId="8"/>
    <tableColumn id="3" xr3:uid="{90712072-5FE3-4509-AF9A-55F6198FF12B}" name="Perceel" dataDxfId="7"/>
    <tableColumn id="4" xr3:uid="{CC1C9A40-DF14-4858-B3B3-0E5BF5AB5789}" name="Ras" dataDxfId="6"/>
    <tableColumn id="5" xr3:uid="{460A450E-C6BE-4A38-98D2-CE2B959C72AA}" name="Tonnen" dataDxfId="5"/>
    <tableColumn id="6" xr3:uid="{4DDF3840-97AA-41BA-BB1C-5A42992AF18D}" name="Koeling of" dataDxfId="4"/>
    <tableColumn id="7" xr3:uid="{1A45833A-54D6-45FF-B6A0-F1D974562D55}" name="Datum laatste bespuiting" dataDxfId="3"/>
    <tableColumn id="8" xr3:uid="{C78CF2B5-67C2-40CF-AA8E-A91F725DFB09}" name="Middel en dosering/ha" dataDxfId="2"/>
    <tableColumn id="9" xr3:uid="{651333ED-F0DB-4F7E-AEA2-4104E5863F93}" name="Veiligheidstermijn (dgn.)" dataDxfId="1"/>
    <tableColumn id="10" xr3:uid="{85845B96-55E8-4D9E-A90C-B09775F0A971}" name="Opmerking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C753-60C2-40FD-B193-78A441E5B2CB}">
  <dimension ref="A1:J523"/>
  <sheetViews>
    <sheetView tabSelected="1" workbookViewId="0">
      <selection activeCell="D26" sqref="D26"/>
    </sheetView>
  </sheetViews>
  <sheetFormatPr defaultColWidth="9" defaultRowHeight="13.9"/>
  <cols>
    <col min="1" max="1" width="11.25" style="24" customWidth="1"/>
    <col min="2" max="2" width="9.5" customWidth="1"/>
    <col min="3" max="3" width="13.5" style="20" bestFit="1" customWidth="1"/>
    <col min="4" max="4" width="9.375" style="20" bestFit="1" customWidth="1"/>
    <col min="5" max="5" width="8" style="20" customWidth="1"/>
    <col min="6" max="6" width="9.875" style="20" customWidth="1"/>
    <col min="7" max="7" width="20.25" style="20" customWidth="1"/>
    <col min="8" max="8" width="18.75" style="20" customWidth="1"/>
    <col min="9" max="9" width="20.25" style="20" customWidth="1"/>
    <col min="10" max="10" width="26.375" style="20" bestFit="1" customWidth="1"/>
  </cols>
  <sheetData>
    <row r="1" spans="1:10">
      <c r="A1" s="16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</row>
    <row r="2" spans="1:10">
      <c r="A2" s="19">
        <v>42975</v>
      </c>
      <c r="B2" s="20">
        <v>2017</v>
      </c>
      <c r="C2" s="20">
        <v>3</v>
      </c>
      <c r="D2" s="18" t="s">
        <v>10</v>
      </c>
      <c r="E2" s="18">
        <v>2.1</v>
      </c>
      <c r="F2" s="18" t="s">
        <v>11</v>
      </c>
      <c r="G2" s="19">
        <v>42958</v>
      </c>
      <c r="H2" s="18" t="s">
        <v>12</v>
      </c>
      <c r="I2" s="18">
        <v>7</v>
      </c>
      <c r="J2" s="18"/>
    </row>
    <row r="3" spans="1:10">
      <c r="A3" s="19">
        <v>42976</v>
      </c>
      <c r="B3" s="20">
        <v>2017</v>
      </c>
      <c r="C3" s="20">
        <v>3</v>
      </c>
      <c r="D3" s="18" t="s">
        <v>10</v>
      </c>
      <c r="E3" s="18">
        <v>4.8</v>
      </c>
      <c r="F3" s="18" t="s">
        <v>11</v>
      </c>
      <c r="G3" s="19">
        <v>42958</v>
      </c>
      <c r="H3" s="18" t="s">
        <v>12</v>
      </c>
      <c r="I3" s="18">
        <v>7</v>
      </c>
      <c r="J3" s="18"/>
    </row>
    <row r="4" spans="1:10">
      <c r="A4" s="19">
        <v>42977</v>
      </c>
      <c r="B4" s="20">
        <v>2017</v>
      </c>
      <c r="C4" s="20">
        <v>3</v>
      </c>
      <c r="D4" s="18" t="s">
        <v>10</v>
      </c>
      <c r="E4" s="18">
        <v>4.8</v>
      </c>
      <c r="F4" s="18" t="s">
        <v>11</v>
      </c>
      <c r="G4" s="19">
        <v>42958</v>
      </c>
      <c r="H4" s="18" t="s">
        <v>12</v>
      </c>
      <c r="I4" s="18">
        <v>7</v>
      </c>
      <c r="J4" s="18"/>
    </row>
    <row r="5" spans="1:10">
      <c r="A5" s="19">
        <v>42978</v>
      </c>
      <c r="B5" s="20">
        <v>2017</v>
      </c>
      <c r="C5" s="20">
        <v>3</v>
      </c>
      <c r="D5" s="18" t="s">
        <v>10</v>
      </c>
      <c r="E5" s="18">
        <v>4.2</v>
      </c>
      <c r="F5" s="18" t="s">
        <v>11</v>
      </c>
      <c r="G5" s="19">
        <v>42958</v>
      </c>
      <c r="H5" s="18" t="s">
        <v>12</v>
      </c>
      <c r="I5" s="18">
        <v>7</v>
      </c>
      <c r="J5" s="18"/>
    </row>
    <row r="6" spans="1:10">
      <c r="A6" s="19">
        <v>42980</v>
      </c>
      <c r="B6" s="20">
        <v>2017</v>
      </c>
      <c r="C6" s="20" t="s">
        <v>13</v>
      </c>
      <c r="D6" s="18" t="s">
        <v>10</v>
      </c>
      <c r="E6" s="18">
        <v>1.8</v>
      </c>
      <c r="F6" s="18" t="s">
        <v>14</v>
      </c>
      <c r="G6" s="19">
        <v>42958</v>
      </c>
      <c r="H6" s="18" t="s">
        <v>12</v>
      </c>
      <c r="I6" s="18">
        <v>7</v>
      </c>
      <c r="J6" s="18"/>
    </row>
    <row r="7" spans="1:10">
      <c r="A7" s="19">
        <v>42984</v>
      </c>
      <c r="B7" s="20">
        <v>2017</v>
      </c>
      <c r="C7" s="20" t="s">
        <v>13</v>
      </c>
      <c r="D7" s="18" t="s">
        <v>10</v>
      </c>
      <c r="E7" s="18">
        <v>4.5</v>
      </c>
      <c r="F7" s="18" t="s">
        <v>14</v>
      </c>
      <c r="G7" s="19">
        <v>42958</v>
      </c>
      <c r="H7" s="18" t="s">
        <v>12</v>
      </c>
      <c r="I7" s="18">
        <v>7</v>
      </c>
      <c r="J7" s="18"/>
    </row>
    <row r="8" spans="1:10">
      <c r="A8" s="19">
        <v>42985</v>
      </c>
      <c r="B8" s="20">
        <v>2017</v>
      </c>
      <c r="C8" s="20" t="s">
        <v>13</v>
      </c>
      <c r="D8" s="18" t="s">
        <v>10</v>
      </c>
      <c r="E8" s="18">
        <v>2.7</v>
      </c>
      <c r="F8" s="18" t="s">
        <v>14</v>
      </c>
      <c r="G8" s="19">
        <v>42958</v>
      </c>
      <c r="H8" s="18" t="s">
        <v>12</v>
      </c>
      <c r="I8" s="18">
        <v>7</v>
      </c>
      <c r="J8" s="18"/>
    </row>
    <row r="9" spans="1:10">
      <c r="A9" s="19">
        <v>42985</v>
      </c>
      <c r="B9" s="20">
        <v>2017</v>
      </c>
      <c r="C9" s="20">
        <v>3</v>
      </c>
      <c r="D9" s="18" t="s">
        <v>10</v>
      </c>
      <c r="E9" s="18">
        <v>3</v>
      </c>
      <c r="F9" s="18" t="s">
        <v>14</v>
      </c>
      <c r="G9" s="19">
        <v>42958</v>
      </c>
      <c r="H9" s="18" t="s">
        <v>12</v>
      </c>
      <c r="I9" s="18">
        <v>7</v>
      </c>
      <c r="J9" s="18"/>
    </row>
    <row r="10" spans="1:10">
      <c r="A10" s="19">
        <v>42987</v>
      </c>
      <c r="B10" s="20">
        <v>2017</v>
      </c>
      <c r="C10" s="20" t="s">
        <v>13</v>
      </c>
      <c r="D10" s="18" t="s">
        <v>15</v>
      </c>
      <c r="E10" s="18">
        <v>3.6</v>
      </c>
      <c r="F10" s="18" t="s">
        <v>14</v>
      </c>
      <c r="G10" s="19">
        <v>42958</v>
      </c>
      <c r="H10" s="18" t="s">
        <v>12</v>
      </c>
      <c r="I10" s="18">
        <v>7</v>
      </c>
      <c r="J10" s="18"/>
    </row>
    <row r="11" spans="1:10">
      <c r="A11" s="19">
        <v>42988</v>
      </c>
      <c r="B11" s="20">
        <v>2017</v>
      </c>
      <c r="C11" s="20" t="s">
        <v>13</v>
      </c>
      <c r="D11" s="18" t="s">
        <v>15</v>
      </c>
      <c r="E11" s="18">
        <v>1.2</v>
      </c>
      <c r="F11" s="18" t="s">
        <v>14</v>
      </c>
      <c r="G11" s="19">
        <v>42958</v>
      </c>
      <c r="H11" s="18" t="s">
        <v>12</v>
      </c>
      <c r="I11" s="18">
        <v>7</v>
      </c>
      <c r="J11" s="18"/>
    </row>
    <row r="12" spans="1:10">
      <c r="A12" s="19">
        <v>42988</v>
      </c>
      <c r="B12" s="20">
        <v>2017</v>
      </c>
      <c r="C12" s="20" t="s">
        <v>16</v>
      </c>
      <c r="D12" s="18" t="s">
        <v>15</v>
      </c>
      <c r="E12" s="18">
        <v>2.4</v>
      </c>
      <c r="F12" s="18" t="s">
        <v>14</v>
      </c>
      <c r="G12" s="19">
        <v>42976</v>
      </c>
      <c r="H12" s="18" t="s">
        <v>12</v>
      </c>
      <c r="I12" s="18">
        <v>7</v>
      </c>
      <c r="J12" s="18"/>
    </row>
    <row r="13" spans="1:10">
      <c r="A13" s="19">
        <v>42989</v>
      </c>
      <c r="B13" s="20">
        <v>2017</v>
      </c>
      <c r="C13" s="20">
        <v>3</v>
      </c>
      <c r="D13" s="18" t="s">
        <v>10</v>
      </c>
      <c r="E13" s="18">
        <v>9.6</v>
      </c>
      <c r="F13" s="18" t="s">
        <v>14</v>
      </c>
      <c r="G13" s="19">
        <v>42958</v>
      </c>
      <c r="H13" s="18" t="s">
        <v>12</v>
      </c>
      <c r="I13" s="18">
        <v>7</v>
      </c>
      <c r="J13" s="18"/>
    </row>
    <row r="14" spans="1:10">
      <c r="A14" s="19">
        <v>42990</v>
      </c>
      <c r="B14" s="20">
        <v>2017</v>
      </c>
      <c r="C14" s="20">
        <v>3</v>
      </c>
      <c r="D14" s="18" t="s">
        <v>10</v>
      </c>
      <c r="E14" s="18">
        <v>12</v>
      </c>
      <c r="F14" s="18" t="s">
        <v>14</v>
      </c>
      <c r="G14" s="19">
        <v>42958</v>
      </c>
      <c r="H14" s="18" t="s">
        <v>12</v>
      </c>
      <c r="I14" s="18">
        <v>7</v>
      </c>
      <c r="J14" s="18"/>
    </row>
    <row r="15" spans="1:10">
      <c r="A15" s="19">
        <v>42991</v>
      </c>
      <c r="B15" s="20">
        <v>2017</v>
      </c>
      <c r="C15" s="20">
        <v>3</v>
      </c>
      <c r="D15" s="18" t="s">
        <v>10</v>
      </c>
      <c r="E15" s="18">
        <v>9.3000000000000007</v>
      </c>
      <c r="F15" s="18" t="s">
        <v>14</v>
      </c>
      <c r="G15" s="19">
        <v>42958</v>
      </c>
      <c r="H15" s="18" t="s">
        <v>12</v>
      </c>
      <c r="I15" s="18">
        <v>7</v>
      </c>
      <c r="J15" s="18"/>
    </row>
    <row r="16" spans="1:10">
      <c r="A16" s="19">
        <v>42991</v>
      </c>
      <c r="B16" s="20">
        <v>2017</v>
      </c>
      <c r="C16" s="20" t="s">
        <v>16</v>
      </c>
      <c r="D16" s="18" t="s">
        <v>15</v>
      </c>
      <c r="E16" s="18">
        <v>1.2</v>
      </c>
      <c r="F16" s="18" t="s">
        <v>14</v>
      </c>
      <c r="G16" s="19">
        <v>42976</v>
      </c>
      <c r="H16" s="18" t="s">
        <v>12</v>
      </c>
      <c r="I16" s="18">
        <v>7</v>
      </c>
      <c r="J16" s="18"/>
    </row>
    <row r="17" spans="1:10">
      <c r="A17" s="19">
        <v>42992</v>
      </c>
      <c r="B17" s="20">
        <v>2017</v>
      </c>
      <c r="C17" s="20" t="s">
        <v>17</v>
      </c>
      <c r="D17" s="18" t="s">
        <v>15</v>
      </c>
      <c r="E17" s="18">
        <v>5.0999999999999996</v>
      </c>
      <c r="F17" s="18" t="s">
        <v>14</v>
      </c>
      <c r="G17" s="19">
        <v>42970</v>
      </c>
      <c r="H17" s="18" t="s">
        <v>18</v>
      </c>
      <c r="I17" s="18">
        <v>21</v>
      </c>
      <c r="J17" s="18"/>
    </row>
    <row r="18" spans="1:10">
      <c r="A18" s="19">
        <v>42992</v>
      </c>
      <c r="B18" s="20">
        <v>2017</v>
      </c>
      <c r="C18" s="20" t="s">
        <v>16</v>
      </c>
      <c r="D18" s="18" t="s">
        <v>15</v>
      </c>
      <c r="E18" s="18">
        <v>3.9</v>
      </c>
      <c r="F18" s="18" t="s">
        <v>14</v>
      </c>
      <c r="G18" s="19">
        <v>42976</v>
      </c>
      <c r="H18" s="18" t="s">
        <v>12</v>
      </c>
      <c r="I18" s="18">
        <v>7</v>
      </c>
      <c r="J18" s="18"/>
    </row>
    <row r="19" spans="1:10">
      <c r="A19" s="19">
        <v>42993</v>
      </c>
      <c r="B19" s="20">
        <v>2017</v>
      </c>
      <c r="C19" s="20">
        <v>6</v>
      </c>
      <c r="D19" s="18" t="s">
        <v>15</v>
      </c>
      <c r="E19" s="18">
        <v>10.199999999999999</v>
      </c>
      <c r="F19" s="18" t="s">
        <v>14</v>
      </c>
      <c r="G19" s="19">
        <v>42981</v>
      </c>
      <c r="H19" s="18" t="s">
        <v>12</v>
      </c>
      <c r="I19" s="18">
        <v>7</v>
      </c>
      <c r="J19" s="18"/>
    </row>
    <row r="20" spans="1:10">
      <c r="A20" s="19">
        <v>42994</v>
      </c>
      <c r="B20" s="20">
        <v>2017</v>
      </c>
      <c r="C20" s="20">
        <v>5</v>
      </c>
      <c r="D20" s="18" t="s">
        <v>15</v>
      </c>
      <c r="E20" s="18">
        <v>5.7</v>
      </c>
      <c r="F20" s="18" t="s">
        <v>14</v>
      </c>
      <c r="G20" s="19">
        <v>42970</v>
      </c>
      <c r="H20" s="18" t="s">
        <v>18</v>
      </c>
      <c r="I20" s="18">
        <v>21</v>
      </c>
      <c r="J20" s="18"/>
    </row>
    <row r="21" spans="1:10">
      <c r="A21" s="19">
        <v>42995</v>
      </c>
      <c r="B21" s="20">
        <v>2017</v>
      </c>
      <c r="C21" s="20">
        <v>3</v>
      </c>
      <c r="D21" s="18" t="s">
        <v>10</v>
      </c>
      <c r="E21" s="18">
        <v>3.3</v>
      </c>
      <c r="F21" s="18" t="s">
        <v>14</v>
      </c>
      <c r="G21" s="19">
        <v>42958</v>
      </c>
      <c r="H21" s="18" t="s">
        <v>12</v>
      </c>
      <c r="I21" s="18">
        <v>7</v>
      </c>
      <c r="J21" s="18"/>
    </row>
    <row r="22" spans="1:10">
      <c r="A22" s="19">
        <v>42995</v>
      </c>
      <c r="B22" s="20">
        <v>2017</v>
      </c>
      <c r="C22" s="20" t="s">
        <v>19</v>
      </c>
      <c r="D22" s="18" t="s">
        <v>20</v>
      </c>
      <c r="E22" s="18">
        <v>0.9</v>
      </c>
      <c r="F22" s="18" t="s">
        <v>11</v>
      </c>
      <c r="G22" s="19">
        <v>42976</v>
      </c>
      <c r="H22" s="18" t="s">
        <v>12</v>
      </c>
      <c r="I22" s="18">
        <v>7</v>
      </c>
      <c r="J22" s="18"/>
    </row>
    <row r="23" spans="1:10">
      <c r="A23" s="19">
        <v>42996</v>
      </c>
      <c r="B23" s="20">
        <v>2017</v>
      </c>
      <c r="C23" s="20">
        <v>4</v>
      </c>
      <c r="D23" s="18" t="s">
        <v>21</v>
      </c>
      <c r="E23" s="18">
        <v>20.399999999999999</v>
      </c>
      <c r="F23" s="18" t="s">
        <v>14</v>
      </c>
      <c r="G23" s="19">
        <v>42981</v>
      </c>
      <c r="H23" s="18" t="s">
        <v>12</v>
      </c>
      <c r="I23" s="18">
        <v>7</v>
      </c>
      <c r="J23" s="18"/>
    </row>
    <row r="24" spans="1:10">
      <c r="A24" s="19">
        <v>42997</v>
      </c>
      <c r="B24" s="20">
        <v>2017</v>
      </c>
      <c r="C24" s="20">
        <v>4</v>
      </c>
      <c r="D24" s="18" t="s">
        <v>21</v>
      </c>
      <c r="E24" s="18">
        <v>6.9</v>
      </c>
      <c r="F24" s="18" t="s">
        <v>14</v>
      </c>
      <c r="G24" s="19">
        <v>42981</v>
      </c>
      <c r="H24" s="18" t="s">
        <v>12</v>
      </c>
      <c r="I24" s="18">
        <v>7</v>
      </c>
      <c r="J24" s="18"/>
    </row>
    <row r="25" spans="1:10">
      <c r="A25" s="19">
        <v>42997</v>
      </c>
      <c r="B25" s="20">
        <v>2017</v>
      </c>
      <c r="C25" s="20">
        <v>4</v>
      </c>
      <c r="D25" s="18" t="s">
        <v>15</v>
      </c>
      <c r="E25" s="18">
        <v>1.5</v>
      </c>
      <c r="F25" s="18" t="s">
        <v>14</v>
      </c>
      <c r="G25" s="19">
        <v>42981</v>
      </c>
      <c r="H25" s="18" t="s">
        <v>12</v>
      </c>
      <c r="I25" s="18">
        <v>7</v>
      </c>
      <c r="J25" s="18"/>
    </row>
    <row r="26" spans="1:10">
      <c r="A26" s="19">
        <v>42997</v>
      </c>
      <c r="B26" s="20">
        <v>2017</v>
      </c>
      <c r="C26" s="20" t="s">
        <v>13</v>
      </c>
      <c r="D26" s="18" t="s">
        <v>10</v>
      </c>
      <c r="E26" s="18">
        <v>4.8</v>
      </c>
      <c r="F26" s="18" t="s">
        <v>14</v>
      </c>
      <c r="G26" s="19">
        <v>42958</v>
      </c>
      <c r="H26" s="18" t="s">
        <v>12</v>
      </c>
      <c r="I26" s="18">
        <v>7</v>
      </c>
      <c r="J26" s="18"/>
    </row>
    <row r="27" spans="1:10">
      <c r="A27" s="19">
        <v>42998</v>
      </c>
      <c r="B27" s="20">
        <v>2017</v>
      </c>
      <c r="C27" s="20" t="s">
        <v>13</v>
      </c>
      <c r="D27" s="18" t="s">
        <v>10</v>
      </c>
      <c r="E27" s="18">
        <v>11.1</v>
      </c>
      <c r="F27" s="18" t="s">
        <v>14</v>
      </c>
      <c r="G27" s="19">
        <v>42958</v>
      </c>
      <c r="H27" s="18" t="s">
        <v>12</v>
      </c>
      <c r="I27" s="18">
        <v>7</v>
      </c>
      <c r="J27" s="18"/>
    </row>
    <row r="28" spans="1:10">
      <c r="A28" s="19">
        <v>42998</v>
      </c>
      <c r="B28" s="20">
        <v>2017</v>
      </c>
      <c r="C28" s="20" t="s">
        <v>16</v>
      </c>
      <c r="D28" s="18" t="s">
        <v>15</v>
      </c>
      <c r="E28" s="18">
        <v>3.6</v>
      </c>
      <c r="F28" s="18" t="s">
        <v>14</v>
      </c>
      <c r="G28" s="19">
        <v>42976</v>
      </c>
      <c r="H28" s="18" t="s">
        <v>12</v>
      </c>
      <c r="I28" s="18">
        <v>7</v>
      </c>
      <c r="J28" s="18"/>
    </row>
    <row r="29" spans="1:10">
      <c r="A29" s="19">
        <v>42999</v>
      </c>
      <c r="B29" s="20">
        <v>2017</v>
      </c>
      <c r="C29" s="20" t="s">
        <v>13</v>
      </c>
      <c r="D29" s="18" t="s">
        <v>10</v>
      </c>
      <c r="E29" s="18">
        <v>3</v>
      </c>
      <c r="F29" s="18" t="s">
        <v>14</v>
      </c>
      <c r="G29" s="19">
        <v>42958</v>
      </c>
      <c r="H29" s="18" t="s">
        <v>12</v>
      </c>
      <c r="I29" s="18">
        <v>7</v>
      </c>
      <c r="J29" s="18"/>
    </row>
    <row r="30" spans="1:10">
      <c r="A30" s="19">
        <v>42999</v>
      </c>
      <c r="B30" s="20">
        <v>2017</v>
      </c>
      <c r="C30" s="20" t="s">
        <v>16</v>
      </c>
      <c r="D30" s="18" t="s">
        <v>15</v>
      </c>
      <c r="E30" s="18">
        <v>12</v>
      </c>
      <c r="F30" s="18" t="s">
        <v>14</v>
      </c>
      <c r="G30" s="19">
        <v>42976</v>
      </c>
      <c r="H30" s="18" t="s">
        <v>12</v>
      </c>
      <c r="I30" s="18">
        <v>7</v>
      </c>
      <c r="J30" s="18"/>
    </row>
    <row r="31" spans="1:10">
      <c r="A31" s="19">
        <v>43000</v>
      </c>
      <c r="B31" s="20">
        <v>2017</v>
      </c>
      <c r="C31" s="20" t="s">
        <v>16</v>
      </c>
      <c r="D31" s="18" t="s">
        <v>15</v>
      </c>
      <c r="E31" s="18">
        <v>13.5</v>
      </c>
      <c r="F31" s="18" t="s">
        <v>14</v>
      </c>
      <c r="G31" s="19">
        <v>42976</v>
      </c>
      <c r="H31" s="18" t="s">
        <v>12</v>
      </c>
      <c r="I31" s="18">
        <v>7</v>
      </c>
      <c r="J31" s="18"/>
    </row>
    <row r="32" spans="1:10">
      <c r="A32" s="19">
        <v>43001</v>
      </c>
      <c r="B32" s="20">
        <v>2017</v>
      </c>
      <c r="C32" s="20" t="s">
        <v>16</v>
      </c>
      <c r="D32" s="18" t="s">
        <v>15</v>
      </c>
      <c r="E32" s="18">
        <v>8.6999999999999993</v>
      </c>
      <c r="F32" s="18" t="s">
        <v>14</v>
      </c>
      <c r="G32" s="19">
        <v>42976</v>
      </c>
      <c r="H32" s="18" t="s">
        <v>12</v>
      </c>
      <c r="I32" s="18">
        <v>7</v>
      </c>
      <c r="J32" s="18"/>
    </row>
    <row r="33" spans="1:10">
      <c r="A33" s="19">
        <v>43001</v>
      </c>
      <c r="B33" s="20">
        <v>2017</v>
      </c>
      <c r="C33" s="20" t="s">
        <v>22</v>
      </c>
      <c r="D33" s="18" t="s">
        <v>20</v>
      </c>
      <c r="E33" s="18">
        <v>1.8</v>
      </c>
      <c r="F33" s="18" t="s">
        <v>11</v>
      </c>
      <c r="G33" s="19">
        <v>42976</v>
      </c>
      <c r="H33" s="18" t="s">
        <v>12</v>
      </c>
      <c r="I33" s="18">
        <v>7</v>
      </c>
      <c r="J33" s="18"/>
    </row>
    <row r="34" spans="1:10">
      <c r="A34" s="19">
        <v>43002</v>
      </c>
      <c r="B34" s="20">
        <v>2017</v>
      </c>
      <c r="C34" s="20" t="s">
        <v>16</v>
      </c>
      <c r="D34" s="18" t="s">
        <v>15</v>
      </c>
      <c r="E34" s="18">
        <v>5.4</v>
      </c>
      <c r="F34" s="18" t="s">
        <v>14</v>
      </c>
      <c r="G34" s="19">
        <v>42976</v>
      </c>
      <c r="H34" s="18" t="s">
        <v>12</v>
      </c>
      <c r="I34" s="18">
        <v>7</v>
      </c>
      <c r="J34" s="18"/>
    </row>
    <row r="35" spans="1:10">
      <c r="A35" s="19">
        <v>43003</v>
      </c>
      <c r="B35" s="20">
        <v>2017</v>
      </c>
      <c r="C35" s="20" t="s">
        <v>16</v>
      </c>
      <c r="D35" s="18" t="s">
        <v>15</v>
      </c>
      <c r="E35" s="18">
        <v>13.2</v>
      </c>
      <c r="F35" s="18" t="s">
        <v>14</v>
      </c>
      <c r="G35" s="19">
        <v>42976</v>
      </c>
      <c r="H35" s="18" t="s">
        <v>12</v>
      </c>
      <c r="I35" s="18">
        <v>7</v>
      </c>
      <c r="J35" s="18"/>
    </row>
    <row r="36" spans="1:10">
      <c r="A36" s="19">
        <v>43003</v>
      </c>
      <c r="B36" s="20">
        <v>2017</v>
      </c>
      <c r="C36" s="20">
        <v>6</v>
      </c>
      <c r="D36" s="18" t="s">
        <v>21</v>
      </c>
      <c r="E36" s="18">
        <v>1.2</v>
      </c>
      <c r="F36" s="18" t="s">
        <v>14</v>
      </c>
      <c r="G36" s="19">
        <v>42981</v>
      </c>
      <c r="H36" s="18" t="s">
        <v>12</v>
      </c>
      <c r="I36" s="18">
        <v>7</v>
      </c>
      <c r="J36" s="18"/>
    </row>
    <row r="37" spans="1:10">
      <c r="A37" s="19">
        <v>43004</v>
      </c>
      <c r="B37" s="20">
        <v>2017</v>
      </c>
      <c r="C37" s="20" t="s">
        <v>16</v>
      </c>
      <c r="D37" s="18" t="s">
        <v>15</v>
      </c>
      <c r="E37" s="18">
        <v>1.2</v>
      </c>
      <c r="F37" s="18" t="s">
        <v>14</v>
      </c>
      <c r="G37" s="19">
        <v>42976</v>
      </c>
      <c r="H37" s="18" t="s">
        <v>12</v>
      </c>
      <c r="I37" s="18">
        <v>7</v>
      </c>
      <c r="J37" s="18"/>
    </row>
    <row r="38" spans="1:10">
      <c r="A38" s="19">
        <v>43004</v>
      </c>
      <c r="B38" s="20">
        <v>2017</v>
      </c>
      <c r="C38" s="20">
        <v>5</v>
      </c>
      <c r="D38" s="18" t="s">
        <v>15</v>
      </c>
      <c r="E38" s="18">
        <v>2.1</v>
      </c>
      <c r="F38" s="18" t="s">
        <v>14</v>
      </c>
      <c r="G38" s="19">
        <v>42970</v>
      </c>
      <c r="H38" s="18" t="s">
        <v>18</v>
      </c>
      <c r="I38" s="18">
        <v>21</v>
      </c>
      <c r="J38" s="18"/>
    </row>
    <row r="39" spans="1:10">
      <c r="A39" s="19">
        <v>43004</v>
      </c>
      <c r="B39" s="20">
        <v>2017</v>
      </c>
      <c r="C39" s="20">
        <v>6</v>
      </c>
      <c r="D39" s="18" t="s">
        <v>21</v>
      </c>
      <c r="E39" s="18">
        <v>15.6</v>
      </c>
      <c r="F39" s="18" t="s">
        <v>14</v>
      </c>
      <c r="G39" s="19">
        <v>42981</v>
      </c>
      <c r="H39" s="18" t="s">
        <v>12</v>
      </c>
      <c r="I39" s="18">
        <v>7</v>
      </c>
      <c r="J39" s="18"/>
    </row>
    <row r="40" spans="1:10">
      <c r="A40" s="19">
        <v>43005</v>
      </c>
      <c r="B40" s="20">
        <v>2017</v>
      </c>
      <c r="C40" s="20">
        <v>6</v>
      </c>
      <c r="D40" s="18" t="s">
        <v>21</v>
      </c>
      <c r="E40" s="18">
        <v>21</v>
      </c>
      <c r="F40" s="18" t="s">
        <v>14</v>
      </c>
      <c r="G40" s="19">
        <v>42981</v>
      </c>
      <c r="H40" s="18" t="s">
        <v>12</v>
      </c>
      <c r="I40" s="18">
        <v>7</v>
      </c>
      <c r="J40" s="18"/>
    </row>
    <row r="41" spans="1:10">
      <c r="A41" s="19">
        <v>43006</v>
      </c>
      <c r="B41" s="20">
        <v>2017</v>
      </c>
      <c r="C41" s="20">
        <v>6</v>
      </c>
      <c r="D41" s="18" t="s">
        <v>21</v>
      </c>
      <c r="E41" s="18">
        <v>26.1</v>
      </c>
      <c r="F41" s="18" t="s">
        <v>14</v>
      </c>
      <c r="G41" s="19">
        <v>42981</v>
      </c>
      <c r="H41" s="18" t="s">
        <v>12</v>
      </c>
      <c r="I41" s="18">
        <v>7</v>
      </c>
      <c r="J41" s="18"/>
    </row>
    <row r="42" spans="1:10">
      <c r="A42" s="19">
        <v>43007</v>
      </c>
      <c r="B42" s="20">
        <v>2017</v>
      </c>
      <c r="C42" s="20">
        <v>6</v>
      </c>
      <c r="D42" s="18" t="s">
        <v>21</v>
      </c>
      <c r="E42" s="18">
        <v>5.0999999999999996</v>
      </c>
      <c r="F42" s="18" t="s">
        <v>14</v>
      </c>
      <c r="G42" s="19">
        <v>42981</v>
      </c>
      <c r="H42" s="18" t="s">
        <v>12</v>
      </c>
      <c r="I42" s="18">
        <v>7</v>
      </c>
      <c r="J42" s="18"/>
    </row>
    <row r="43" spans="1:10">
      <c r="A43" s="19">
        <v>43007</v>
      </c>
      <c r="B43" s="20">
        <v>2017</v>
      </c>
      <c r="C43" s="20">
        <v>4</v>
      </c>
      <c r="D43" s="18" t="s">
        <v>21</v>
      </c>
      <c r="E43" s="18">
        <v>8.6999999999999993</v>
      </c>
      <c r="F43" s="18" t="s">
        <v>14</v>
      </c>
      <c r="G43" s="19">
        <v>42981</v>
      </c>
      <c r="H43" s="18" t="s">
        <v>12</v>
      </c>
      <c r="I43" s="18">
        <v>7</v>
      </c>
      <c r="J43" s="18"/>
    </row>
    <row r="44" spans="1:10">
      <c r="A44" s="19">
        <v>43007</v>
      </c>
      <c r="B44" s="20">
        <v>2017</v>
      </c>
      <c r="C44" s="20" t="s">
        <v>23</v>
      </c>
      <c r="D44" s="18" t="s">
        <v>20</v>
      </c>
      <c r="E44" s="18">
        <v>4.5</v>
      </c>
      <c r="F44" s="18" t="s">
        <v>11</v>
      </c>
      <c r="G44" s="19">
        <v>42981</v>
      </c>
      <c r="H44" s="18" t="s">
        <v>12</v>
      </c>
      <c r="I44" s="18">
        <v>7</v>
      </c>
      <c r="J44" s="18"/>
    </row>
    <row r="45" spans="1:10">
      <c r="A45" s="19">
        <v>43010</v>
      </c>
      <c r="B45" s="20">
        <v>2017</v>
      </c>
      <c r="C45" s="20" t="s">
        <v>17</v>
      </c>
      <c r="D45" s="18" t="s">
        <v>24</v>
      </c>
      <c r="E45" s="18">
        <v>8.4</v>
      </c>
      <c r="F45" s="18" t="s">
        <v>14</v>
      </c>
      <c r="G45" s="19">
        <v>42970</v>
      </c>
      <c r="H45" s="18" t="s">
        <v>18</v>
      </c>
      <c r="I45" s="18">
        <v>21</v>
      </c>
      <c r="J45" s="18"/>
    </row>
    <row r="46" spans="1:10">
      <c r="A46" s="19">
        <v>43011</v>
      </c>
      <c r="B46" s="20">
        <v>2017</v>
      </c>
      <c r="C46" s="20" t="s">
        <v>17</v>
      </c>
      <c r="D46" s="18" t="s">
        <v>24</v>
      </c>
      <c r="E46" s="18">
        <v>9.9</v>
      </c>
      <c r="F46" s="18" t="s">
        <v>14</v>
      </c>
      <c r="G46" s="19">
        <v>42970</v>
      </c>
      <c r="H46" s="18" t="s">
        <v>18</v>
      </c>
      <c r="I46" s="18">
        <v>21</v>
      </c>
      <c r="J46" s="18"/>
    </row>
    <row r="47" spans="1:10">
      <c r="A47" s="19">
        <v>43012</v>
      </c>
      <c r="B47" s="20">
        <v>2017</v>
      </c>
      <c r="C47" s="20" t="s">
        <v>17</v>
      </c>
      <c r="D47" s="18" t="s">
        <v>24</v>
      </c>
      <c r="E47" s="18">
        <v>4.2</v>
      </c>
      <c r="F47" s="18" t="s">
        <v>14</v>
      </c>
      <c r="G47" s="19">
        <v>42970</v>
      </c>
      <c r="H47" s="18" t="s">
        <v>18</v>
      </c>
      <c r="I47" s="18">
        <v>21</v>
      </c>
      <c r="J47" s="18"/>
    </row>
    <row r="48" spans="1:10">
      <c r="A48" s="19">
        <v>43014</v>
      </c>
      <c r="B48" s="20">
        <v>2017</v>
      </c>
      <c r="C48" s="20" t="s">
        <v>17</v>
      </c>
      <c r="D48" s="18" t="s">
        <v>24</v>
      </c>
      <c r="E48" s="18">
        <v>1.8</v>
      </c>
      <c r="F48" s="18" t="s">
        <v>14</v>
      </c>
      <c r="G48" s="19">
        <v>42970</v>
      </c>
      <c r="H48" s="18" t="s">
        <v>18</v>
      </c>
      <c r="I48" s="18">
        <v>21</v>
      </c>
      <c r="J48" s="18"/>
    </row>
    <row r="49" spans="1:10">
      <c r="A49" s="19">
        <v>43014</v>
      </c>
      <c r="B49" s="20">
        <v>2017</v>
      </c>
      <c r="C49" s="20" t="s">
        <v>17</v>
      </c>
      <c r="D49" s="18" t="s">
        <v>20</v>
      </c>
      <c r="E49" s="18">
        <v>0.3</v>
      </c>
      <c r="F49" s="18" t="s">
        <v>11</v>
      </c>
      <c r="G49" s="19">
        <v>42970</v>
      </c>
      <c r="H49" s="18" t="s">
        <v>18</v>
      </c>
      <c r="I49" s="18">
        <v>21</v>
      </c>
      <c r="J49" s="18"/>
    </row>
    <row r="50" spans="1:10">
      <c r="A50" s="19">
        <v>43017</v>
      </c>
      <c r="B50" s="20">
        <v>2017</v>
      </c>
      <c r="C50" s="20">
        <v>5</v>
      </c>
      <c r="D50" s="18" t="s">
        <v>24</v>
      </c>
      <c r="E50" s="18">
        <v>10.5</v>
      </c>
      <c r="F50" s="18" t="s">
        <v>14</v>
      </c>
      <c r="G50" s="19">
        <v>42970</v>
      </c>
      <c r="H50" s="18" t="s">
        <v>18</v>
      </c>
      <c r="I50" s="18">
        <v>21</v>
      </c>
      <c r="J50" s="18"/>
    </row>
    <row r="51" spans="1:10">
      <c r="A51" s="19">
        <v>43018</v>
      </c>
      <c r="B51" s="20">
        <v>2017</v>
      </c>
      <c r="C51" s="20">
        <v>5</v>
      </c>
      <c r="D51" s="18" t="s">
        <v>24</v>
      </c>
      <c r="E51" s="18">
        <v>9.3000000000000007</v>
      </c>
      <c r="F51" s="18" t="s">
        <v>14</v>
      </c>
      <c r="G51" s="19">
        <v>42970</v>
      </c>
      <c r="H51" s="18" t="s">
        <v>18</v>
      </c>
      <c r="I51" s="18">
        <v>21</v>
      </c>
      <c r="J51" s="18"/>
    </row>
    <row r="52" spans="1:10">
      <c r="A52" s="19">
        <v>42632</v>
      </c>
      <c r="B52" s="20">
        <v>2016</v>
      </c>
      <c r="C52" s="18" t="s">
        <v>13</v>
      </c>
      <c r="D52" s="18" t="s">
        <v>25</v>
      </c>
      <c r="E52" s="18">
        <v>12.3</v>
      </c>
      <c r="F52" s="18" t="s">
        <v>26</v>
      </c>
      <c r="G52" s="19">
        <v>42598</v>
      </c>
      <c r="H52" s="18" t="s">
        <v>27</v>
      </c>
      <c r="I52" s="18">
        <v>7</v>
      </c>
      <c r="J52" s="18"/>
    </row>
    <row r="53" spans="1:10">
      <c r="A53" s="19">
        <v>42633</v>
      </c>
      <c r="B53" s="20">
        <v>2016</v>
      </c>
      <c r="C53" s="18" t="s">
        <v>13</v>
      </c>
      <c r="D53" s="18" t="s">
        <v>25</v>
      </c>
      <c r="E53" s="18">
        <v>14.4</v>
      </c>
      <c r="F53" s="18" t="s">
        <v>26</v>
      </c>
      <c r="G53" s="19">
        <v>42598</v>
      </c>
      <c r="H53" s="18" t="s">
        <v>27</v>
      </c>
      <c r="I53" s="18">
        <v>7</v>
      </c>
      <c r="J53" s="18"/>
    </row>
    <row r="54" spans="1:10">
      <c r="A54" s="19">
        <v>42634</v>
      </c>
      <c r="B54" s="20">
        <v>2016</v>
      </c>
      <c r="C54" s="18" t="s">
        <v>13</v>
      </c>
      <c r="D54" s="18" t="s">
        <v>25</v>
      </c>
      <c r="E54" s="18">
        <v>5.4</v>
      </c>
      <c r="F54" s="18" t="s">
        <v>26</v>
      </c>
      <c r="G54" s="19">
        <v>42598</v>
      </c>
      <c r="H54" s="18" t="s">
        <v>27</v>
      </c>
      <c r="I54" s="18">
        <v>7</v>
      </c>
      <c r="J54" s="18"/>
    </row>
    <row r="55" spans="1:10">
      <c r="A55" s="19">
        <v>42634</v>
      </c>
      <c r="B55" s="20">
        <v>2016</v>
      </c>
      <c r="C55" s="18" t="s">
        <v>16</v>
      </c>
      <c r="D55" s="18" t="s">
        <v>28</v>
      </c>
      <c r="E55" s="18">
        <v>12.6</v>
      </c>
      <c r="F55" s="18" t="s">
        <v>26</v>
      </c>
      <c r="G55" s="19">
        <v>42624</v>
      </c>
      <c r="H55" s="18" t="s">
        <v>29</v>
      </c>
      <c r="I55" s="18">
        <v>7</v>
      </c>
      <c r="J55" s="18"/>
    </row>
    <row r="56" spans="1:10">
      <c r="A56" s="19">
        <v>42635</v>
      </c>
      <c r="B56" s="20">
        <v>2016</v>
      </c>
      <c r="C56" s="18" t="s">
        <v>13</v>
      </c>
      <c r="D56" s="18" t="s">
        <v>25</v>
      </c>
      <c r="E56" s="18">
        <v>1.5</v>
      </c>
      <c r="F56" s="18" t="s">
        <v>26</v>
      </c>
      <c r="G56" s="19">
        <v>42598</v>
      </c>
      <c r="H56" s="18" t="s">
        <v>27</v>
      </c>
      <c r="I56" s="18">
        <v>7</v>
      </c>
      <c r="J56" s="18"/>
    </row>
    <row r="57" spans="1:10">
      <c r="A57" s="19">
        <v>42635</v>
      </c>
      <c r="B57" s="20">
        <v>2016</v>
      </c>
      <c r="C57" s="18" t="s">
        <v>16</v>
      </c>
      <c r="D57" s="18" t="s">
        <v>28</v>
      </c>
      <c r="E57" s="18">
        <v>17.399999999999999</v>
      </c>
      <c r="F57" s="18" t="s">
        <v>26</v>
      </c>
      <c r="G57" s="19">
        <v>42624</v>
      </c>
      <c r="H57" s="18" t="s">
        <v>29</v>
      </c>
      <c r="I57" s="18">
        <v>7</v>
      </c>
      <c r="J57" s="18"/>
    </row>
    <row r="58" spans="1:10">
      <c r="A58" s="19">
        <v>42636</v>
      </c>
      <c r="B58" s="20">
        <v>2016</v>
      </c>
      <c r="C58" s="18" t="s">
        <v>16</v>
      </c>
      <c r="D58" s="18" t="s">
        <v>28</v>
      </c>
      <c r="E58" s="18">
        <v>17.7</v>
      </c>
      <c r="F58" s="18" t="s">
        <v>26</v>
      </c>
      <c r="G58" s="19">
        <v>42624</v>
      </c>
      <c r="H58" s="18" t="s">
        <v>29</v>
      </c>
      <c r="I58" s="18">
        <v>7</v>
      </c>
      <c r="J58" s="18"/>
    </row>
    <row r="59" spans="1:10">
      <c r="A59" s="19">
        <v>42637</v>
      </c>
      <c r="B59" s="20">
        <v>2016</v>
      </c>
      <c r="C59" s="18" t="s">
        <v>16</v>
      </c>
      <c r="D59" s="18" t="s">
        <v>28</v>
      </c>
      <c r="E59" s="18">
        <v>7.2</v>
      </c>
      <c r="F59" s="18" t="s">
        <v>26</v>
      </c>
      <c r="G59" s="19">
        <v>42624</v>
      </c>
      <c r="H59" s="18" t="s">
        <v>29</v>
      </c>
      <c r="I59" s="18">
        <v>7</v>
      </c>
      <c r="J59" s="18"/>
    </row>
    <row r="60" spans="1:10">
      <c r="A60" s="19">
        <v>42638</v>
      </c>
      <c r="B60" s="20">
        <v>2016</v>
      </c>
      <c r="C60" s="18" t="s">
        <v>16</v>
      </c>
      <c r="D60" s="18" t="s">
        <v>28</v>
      </c>
      <c r="E60" s="18">
        <v>2.7</v>
      </c>
      <c r="F60" s="18" t="s">
        <v>26</v>
      </c>
      <c r="G60" s="19">
        <v>42624</v>
      </c>
      <c r="H60" s="18" t="s">
        <v>29</v>
      </c>
      <c r="I60" s="18">
        <v>7</v>
      </c>
      <c r="J60" s="18"/>
    </row>
    <row r="61" spans="1:10">
      <c r="A61" s="19">
        <v>42639</v>
      </c>
      <c r="B61" s="20">
        <v>2016</v>
      </c>
      <c r="C61" s="18" t="s">
        <v>16</v>
      </c>
      <c r="D61" s="18" t="s">
        <v>28</v>
      </c>
      <c r="E61" s="18">
        <v>9.3000000000000007</v>
      </c>
      <c r="F61" s="18" t="s">
        <v>26</v>
      </c>
      <c r="G61" s="19">
        <v>42624</v>
      </c>
      <c r="H61" s="18" t="s">
        <v>29</v>
      </c>
      <c r="I61" s="18">
        <v>7</v>
      </c>
      <c r="J61" s="18"/>
    </row>
    <row r="62" spans="1:10">
      <c r="A62" s="19">
        <v>42640</v>
      </c>
      <c r="B62" s="20">
        <v>2016</v>
      </c>
      <c r="C62" s="18" t="s">
        <v>16</v>
      </c>
      <c r="D62" s="18" t="s">
        <v>28</v>
      </c>
      <c r="E62" s="18">
        <v>5.0999999999999996</v>
      </c>
      <c r="F62" s="18" t="s">
        <v>26</v>
      </c>
      <c r="G62" s="19">
        <v>42624</v>
      </c>
      <c r="H62" s="18" t="s">
        <v>29</v>
      </c>
      <c r="I62" s="18">
        <v>7</v>
      </c>
      <c r="J62" s="18"/>
    </row>
    <row r="63" spans="1:10">
      <c r="A63" s="19">
        <v>42641</v>
      </c>
      <c r="B63" s="20">
        <v>2016</v>
      </c>
      <c r="C63" s="18" t="s">
        <v>16</v>
      </c>
      <c r="D63" s="18" t="s">
        <v>28</v>
      </c>
      <c r="E63" s="18">
        <v>6</v>
      </c>
      <c r="F63" s="18" t="s">
        <v>26</v>
      </c>
      <c r="G63" s="19">
        <v>42624</v>
      </c>
      <c r="H63" s="18" t="s">
        <v>29</v>
      </c>
      <c r="I63" s="18">
        <v>7</v>
      </c>
      <c r="J63" s="18"/>
    </row>
    <row r="64" spans="1:10">
      <c r="A64" s="19">
        <v>42642</v>
      </c>
      <c r="B64" s="20">
        <v>2016</v>
      </c>
      <c r="C64" s="18" t="s">
        <v>13</v>
      </c>
      <c r="D64" s="18" t="s">
        <v>25</v>
      </c>
      <c r="E64" s="18">
        <v>18</v>
      </c>
      <c r="F64" s="18" t="s">
        <v>26</v>
      </c>
      <c r="G64" s="19">
        <v>42598</v>
      </c>
      <c r="H64" s="18" t="s">
        <v>27</v>
      </c>
      <c r="I64" s="18">
        <v>7</v>
      </c>
      <c r="J64" s="18"/>
    </row>
    <row r="65" spans="1:10">
      <c r="A65" s="19">
        <v>42643</v>
      </c>
      <c r="B65" s="20">
        <v>2016</v>
      </c>
      <c r="C65" s="18" t="s">
        <v>13</v>
      </c>
      <c r="D65" s="18" t="s">
        <v>25</v>
      </c>
      <c r="E65" s="18">
        <v>3.6</v>
      </c>
      <c r="F65" s="18" t="s">
        <v>26</v>
      </c>
      <c r="G65" s="19">
        <v>42598</v>
      </c>
      <c r="H65" s="18" t="s">
        <v>27</v>
      </c>
      <c r="I65" s="18">
        <v>7</v>
      </c>
      <c r="J65" s="18"/>
    </row>
    <row r="66" spans="1:10">
      <c r="A66" s="19">
        <v>42644</v>
      </c>
      <c r="B66" s="20">
        <v>2016</v>
      </c>
      <c r="C66" s="18" t="s">
        <v>30</v>
      </c>
      <c r="D66" s="18" t="s">
        <v>31</v>
      </c>
      <c r="E66" s="18">
        <v>22.2</v>
      </c>
      <c r="F66" s="18" t="s">
        <v>32</v>
      </c>
      <c r="G66" s="19">
        <v>42598</v>
      </c>
      <c r="H66" s="18" t="s">
        <v>27</v>
      </c>
      <c r="I66" s="18">
        <v>7</v>
      </c>
      <c r="J66" s="18"/>
    </row>
    <row r="67" spans="1:10">
      <c r="A67" s="19">
        <v>42646</v>
      </c>
      <c r="B67" s="20">
        <v>2016</v>
      </c>
      <c r="C67" s="18">
        <v>6</v>
      </c>
      <c r="D67" s="18" t="s">
        <v>33</v>
      </c>
      <c r="E67" s="18">
        <v>10.8</v>
      </c>
      <c r="F67" s="18" t="s">
        <v>26</v>
      </c>
      <c r="G67" s="19">
        <v>42624</v>
      </c>
      <c r="H67" s="18" t="s">
        <v>29</v>
      </c>
      <c r="I67" s="18">
        <v>7</v>
      </c>
      <c r="J67" s="18"/>
    </row>
    <row r="68" spans="1:10">
      <c r="A68" s="19">
        <v>42647</v>
      </c>
      <c r="B68" s="20">
        <v>2016</v>
      </c>
      <c r="C68" s="18">
        <v>6</v>
      </c>
      <c r="D68" s="18" t="s">
        <v>33</v>
      </c>
      <c r="E68" s="18">
        <v>8.4</v>
      </c>
      <c r="F68" s="18" t="s">
        <v>26</v>
      </c>
      <c r="G68" s="19">
        <v>42624</v>
      </c>
      <c r="H68" s="18" t="s">
        <v>29</v>
      </c>
      <c r="I68" s="18">
        <v>7</v>
      </c>
      <c r="J68" s="18"/>
    </row>
    <row r="69" spans="1:10">
      <c r="A69" s="19">
        <v>42648</v>
      </c>
      <c r="B69" s="20">
        <v>2016</v>
      </c>
      <c r="C69" s="18">
        <v>4</v>
      </c>
      <c r="D69" s="18" t="s">
        <v>33</v>
      </c>
      <c r="E69" s="18">
        <v>14.4</v>
      </c>
      <c r="F69" s="18" t="s">
        <v>26</v>
      </c>
      <c r="G69" s="19">
        <v>42624</v>
      </c>
      <c r="H69" s="18" t="s">
        <v>29</v>
      </c>
      <c r="I69" s="18">
        <v>7</v>
      </c>
      <c r="J69" s="18"/>
    </row>
    <row r="70" spans="1:10">
      <c r="A70" s="19">
        <v>42649</v>
      </c>
      <c r="B70" s="20">
        <v>2016</v>
      </c>
      <c r="C70" s="18">
        <v>4</v>
      </c>
      <c r="D70" s="18" t="s">
        <v>33</v>
      </c>
      <c r="E70" s="18">
        <v>6</v>
      </c>
      <c r="F70" s="18" t="s">
        <v>26</v>
      </c>
      <c r="G70" s="19">
        <v>42624</v>
      </c>
      <c r="H70" s="18" t="s">
        <v>29</v>
      </c>
      <c r="I70" s="18">
        <v>7</v>
      </c>
      <c r="J70" s="18"/>
    </row>
    <row r="71" spans="1:10">
      <c r="A71" s="19">
        <v>42650</v>
      </c>
      <c r="B71" s="20">
        <v>2016</v>
      </c>
      <c r="C71" s="18">
        <v>4</v>
      </c>
      <c r="D71" s="18" t="s">
        <v>33</v>
      </c>
      <c r="E71" s="18">
        <v>2.4</v>
      </c>
      <c r="F71" s="18" t="s">
        <v>26</v>
      </c>
      <c r="G71" s="19">
        <v>42624</v>
      </c>
      <c r="H71" s="18" t="s">
        <v>29</v>
      </c>
      <c r="I71" s="18">
        <v>7</v>
      </c>
      <c r="J71" s="18"/>
    </row>
    <row r="72" spans="1:10">
      <c r="A72" s="19">
        <v>42651</v>
      </c>
      <c r="B72" s="20">
        <v>2016</v>
      </c>
      <c r="C72" s="21" t="s">
        <v>34</v>
      </c>
      <c r="D72" s="18" t="s">
        <v>31</v>
      </c>
      <c r="E72" s="18">
        <v>12.3</v>
      </c>
      <c r="F72" s="18" t="s">
        <v>32</v>
      </c>
      <c r="G72" s="19">
        <v>42624</v>
      </c>
      <c r="H72" s="18" t="s">
        <v>29</v>
      </c>
      <c r="I72" s="18">
        <v>7</v>
      </c>
      <c r="J72" s="18"/>
    </row>
    <row r="73" spans="1:10">
      <c r="A73" s="19">
        <v>42651</v>
      </c>
      <c r="B73" s="20">
        <v>2016</v>
      </c>
      <c r="C73" s="18">
        <v>5</v>
      </c>
      <c r="D73" s="18" t="s">
        <v>35</v>
      </c>
      <c r="E73" s="18">
        <v>4.2</v>
      </c>
      <c r="F73" s="18" t="s">
        <v>26</v>
      </c>
      <c r="G73" s="19">
        <v>42643</v>
      </c>
      <c r="H73" s="18" t="s">
        <v>29</v>
      </c>
      <c r="I73" s="18">
        <v>7</v>
      </c>
      <c r="J73" s="18"/>
    </row>
    <row r="74" spans="1:10">
      <c r="A74" s="19">
        <v>42653</v>
      </c>
      <c r="B74" s="20">
        <v>2016</v>
      </c>
      <c r="C74" s="18">
        <v>5</v>
      </c>
      <c r="D74" s="18" t="s">
        <v>35</v>
      </c>
      <c r="E74" s="18">
        <v>9.6</v>
      </c>
      <c r="F74" s="18" t="s">
        <v>26</v>
      </c>
      <c r="G74" s="19">
        <v>42643</v>
      </c>
      <c r="H74" s="18" t="s">
        <v>29</v>
      </c>
      <c r="I74" s="18">
        <v>7</v>
      </c>
      <c r="J74" s="18"/>
    </row>
    <row r="75" spans="1:10">
      <c r="A75" s="19">
        <v>42654</v>
      </c>
      <c r="B75" s="20">
        <v>2016</v>
      </c>
      <c r="C75" s="18">
        <v>5</v>
      </c>
      <c r="D75" s="18" t="s">
        <v>35</v>
      </c>
      <c r="E75" s="18">
        <v>11.4</v>
      </c>
      <c r="F75" s="18" t="s">
        <v>26</v>
      </c>
      <c r="G75" s="19">
        <v>42643</v>
      </c>
      <c r="H75" s="18" t="s">
        <v>29</v>
      </c>
      <c r="I75" s="18">
        <v>7</v>
      </c>
      <c r="J75" s="18"/>
    </row>
    <row r="76" spans="1:10">
      <c r="A76" s="19">
        <v>42655</v>
      </c>
      <c r="B76" s="20">
        <v>2016</v>
      </c>
      <c r="C76" s="18">
        <v>5</v>
      </c>
      <c r="D76" s="18" t="s">
        <v>35</v>
      </c>
      <c r="E76" s="18">
        <v>12</v>
      </c>
      <c r="F76" s="18" t="s">
        <v>26</v>
      </c>
      <c r="G76" s="19">
        <v>42643</v>
      </c>
      <c r="H76" s="18" t="s">
        <v>29</v>
      </c>
      <c r="I76" s="18">
        <v>7</v>
      </c>
      <c r="J76" s="18"/>
    </row>
    <row r="77" spans="1:10">
      <c r="A77" s="19">
        <v>42656</v>
      </c>
      <c r="B77" s="20">
        <v>2016</v>
      </c>
      <c r="C77" s="18">
        <v>5</v>
      </c>
      <c r="D77" s="18" t="s">
        <v>35</v>
      </c>
      <c r="E77" s="18">
        <v>10.199999999999999</v>
      </c>
      <c r="F77" s="18" t="s">
        <v>26</v>
      </c>
      <c r="G77" s="19">
        <v>42643</v>
      </c>
      <c r="H77" s="18" t="s">
        <v>29</v>
      </c>
      <c r="I77" s="18">
        <v>7</v>
      </c>
      <c r="J77" s="18"/>
    </row>
    <row r="78" spans="1:10">
      <c r="A78" s="19">
        <v>42656</v>
      </c>
      <c r="B78" s="20">
        <v>2016</v>
      </c>
      <c r="C78" s="18">
        <v>6</v>
      </c>
      <c r="D78" s="18" t="s">
        <v>33</v>
      </c>
      <c r="E78" s="18">
        <v>4.8</v>
      </c>
      <c r="F78" s="18" t="s">
        <v>26</v>
      </c>
      <c r="G78" s="19">
        <v>42624</v>
      </c>
      <c r="H78" s="18" t="s">
        <v>29</v>
      </c>
      <c r="I78" s="18">
        <v>7</v>
      </c>
      <c r="J78" s="18"/>
    </row>
    <row r="79" spans="1:10">
      <c r="A79" s="19">
        <v>42657</v>
      </c>
      <c r="B79" s="20">
        <v>2016</v>
      </c>
      <c r="C79" s="18">
        <v>6</v>
      </c>
      <c r="D79" s="18" t="s">
        <v>33</v>
      </c>
      <c r="E79" s="18">
        <v>10.199999999999999</v>
      </c>
      <c r="F79" s="18" t="s">
        <v>26</v>
      </c>
      <c r="G79" s="19">
        <v>42624</v>
      </c>
      <c r="H79" s="18" t="s">
        <v>29</v>
      </c>
      <c r="I79" s="18">
        <v>7</v>
      </c>
      <c r="J79" s="18"/>
    </row>
    <row r="80" spans="1:10">
      <c r="A80" s="19">
        <v>42657</v>
      </c>
      <c r="B80" s="20">
        <v>2016</v>
      </c>
      <c r="C80" s="18">
        <v>5</v>
      </c>
      <c r="D80" s="18" t="s">
        <v>35</v>
      </c>
      <c r="E80" s="18">
        <v>3</v>
      </c>
      <c r="F80" s="18" t="s">
        <v>26</v>
      </c>
      <c r="G80" s="19">
        <v>42643</v>
      </c>
      <c r="H80" s="18" t="s">
        <v>29</v>
      </c>
      <c r="I80" s="18">
        <v>7</v>
      </c>
      <c r="J80" s="18"/>
    </row>
    <row r="81" spans="1:10">
      <c r="A81" s="19">
        <v>42658</v>
      </c>
      <c r="B81" s="20">
        <v>2016</v>
      </c>
      <c r="C81" s="18">
        <v>4</v>
      </c>
      <c r="D81" s="18" t="s">
        <v>33</v>
      </c>
      <c r="E81" s="18">
        <v>6</v>
      </c>
      <c r="F81" s="18" t="s">
        <v>26</v>
      </c>
      <c r="G81" s="19">
        <v>42624</v>
      </c>
      <c r="H81" s="18" t="s">
        <v>29</v>
      </c>
      <c r="I81" s="18">
        <v>7</v>
      </c>
      <c r="J81" s="18"/>
    </row>
    <row r="82" spans="1:10">
      <c r="A82" s="19">
        <v>42658</v>
      </c>
      <c r="B82" s="20">
        <v>2016</v>
      </c>
      <c r="C82" s="18" t="s">
        <v>36</v>
      </c>
      <c r="D82" s="18" t="s">
        <v>31</v>
      </c>
      <c r="E82" s="18">
        <v>3.9</v>
      </c>
      <c r="F82" s="18" t="s">
        <v>32</v>
      </c>
      <c r="G82" s="19">
        <v>42643</v>
      </c>
      <c r="H82" s="18" t="s">
        <v>29</v>
      </c>
      <c r="I82" s="18">
        <v>7</v>
      </c>
      <c r="J82" s="18" t="s">
        <v>37</v>
      </c>
    </row>
    <row r="83" spans="1:10">
      <c r="A83" s="19">
        <v>42660</v>
      </c>
      <c r="B83" s="20">
        <v>2016</v>
      </c>
      <c r="C83" s="18">
        <v>4</v>
      </c>
      <c r="D83" s="18" t="s">
        <v>33</v>
      </c>
      <c r="E83" s="18">
        <v>10.5</v>
      </c>
      <c r="F83" s="18" t="s">
        <v>26</v>
      </c>
      <c r="G83" s="19">
        <v>42624</v>
      </c>
      <c r="H83" s="18" t="s">
        <v>29</v>
      </c>
      <c r="I83" s="18">
        <v>7</v>
      </c>
      <c r="J83" s="18"/>
    </row>
    <row r="84" spans="1:10">
      <c r="A84" s="19">
        <v>42660</v>
      </c>
      <c r="B84" s="20">
        <v>2016</v>
      </c>
      <c r="C84" s="18" t="s">
        <v>17</v>
      </c>
      <c r="D84" s="18" t="s">
        <v>35</v>
      </c>
      <c r="E84" s="18">
        <v>2.4</v>
      </c>
      <c r="F84" s="18" t="s">
        <v>26</v>
      </c>
      <c r="G84" s="19">
        <v>42643</v>
      </c>
      <c r="H84" s="18" t="s">
        <v>29</v>
      </c>
      <c r="I84" s="18">
        <v>7</v>
      </c>
      <c r="J84" s="18"/>
    </row>
    <row r="85" spans="1:10">
      <c r="A85" s="19">
        <v>42661</v>
      </c>
      <c r="B85" s="20">
        <v>2016</v>
      </c>
      <c r="C85" s="18" t="s">
        <v>17</v>
      </c>
      <c r="D85" s="18" t="s">
        <v>35</v>
      </c>
      <c r="E85" s="18">
        <v>18.600000000000001</v>
      </c>
      <c r="F85" s="18" t="s">
        <v>26</v>
      </c>
      <c r="G85" s="19">
        <v>42643</v>
      </c>
      <c r="H85" s="18" t="s">
        <v>29</v>
      </c>
      <c r="I85" s="18">
        <v>7</v>
      </c>
      <c r="J85" s="18"/>
    </row>
    <row r="86" spans="1:10">
      <c r="A86" s="19">
        <v>42662</v>
      </c>
      <c r="B86" s="20">
        <v>2016</v>
      </c>
      <c r="C86" s="18" t="s">
        <v>17</v>
      </c>
      <c r="D86" s="18" t="s">
        <v>35</v>
      </c>
      <c r="E86" s="18">
        <v>12.6</v>
      </c>
      <c r="F86" s="18" t="s">
        <v>26</v>
      </c>
      <c r="G86" s="19">
        <v>42643</v>
      </c>
      <c r="H86" s="18" t="s">
        <v>29</v>
      </c>
      <c r="I86" s="18">
        <v>7</v>
      </c>
      <c r="J86" s="18"/>
    </row>
    <row r="87" spans="1:10">
      <c r="A87" s="19">
        <v>42663</v>
      </c>
      <c r="B87" s="20">
        <v>2016</v>
      </c>
      <c r="C87" s="18" t="s">
        <v>17</v>
      </c>
      <c r="D87" s="18" t="s">
        <v>35</v>
      </c>
      <c r="E87" s="18">
        <v>12.9</v>
      </c>
      <c r="F87" s="18" t="s">
        <v>26</v>
      </c>
      <c r="G87" s="19">
        <v>42643</v>
      </c>
      <c r="H87" s="18" t="s">
        <v>29</v>
      </c>
      <c r="I87" s="18">
        <v>7</v>
      </c>
      <c r="J87" s="18"/>
    </row>
    <row r="88" spans="1:10">
      <c r="A88" s="19">
        <v>42664</v>
      </c>
      <c r="B88" s="20">
        <v>2016</v>
      </c>
      <c r="C88" s="18" t="s">
        <v>17</v>
      </c>
      <c r="D88" s="18" t="s">
        <v>35</v>
      </c>
      <c r="E88" s="18">
        <v>4.2</v>
      </c>
      <c r="F88" s="18" t="s">
        <v>26</v>
      </c>
      <c r="G88" s="19">
        <v>42643</v>
      </c>
      <c r="H88" s="18" t="s">
        <v>29</v>
      </c>
      <c r="I88" s="18">
        <v>7</v>
      </c>
      <c r="J88" s="18"/>
    </row>
    <row r="89" spans="1:10">
      <c r="A89" s="19">
        <v>42665</v>
      </c>
      <c r="B89" s="20">
        <v>2016</v>
      </c>
      <c r="C89" s="18" t="s">
        <v>17</v>
      </c>
      <c r="D89" s="18" t="s">
        <v>35</v>
      </c>
      <c r="E89" s="18">
        <v>5.4</v>
      </c>
      <c r="F89" s="18" t="s">
        <v>26</v>
      </c>
      <c r="G89" s="19">
        <v>42643</v>
      </c>
      <c r="H89" s="18" t="s">
        <v>29</v>
      </c>
      <c r="I89" s="18">
        <v>7</v>
      </c>
      <c r="J89" s="18"/>
    </row>
    <row r="90" spans="1:10">
      <c r="A90" s="19">
        <v>42665</v>
      </c>
      <c r="B90" s="20">
        <v>2016</v>
      </c>
      <c r="C90" s="18" t="s">
        <v>38</v>
      </c>
      <c r="D90" s="18" t="s">
        <v>31</v>
      </c>
      <c r="E90" s="18">
        <v>11.7</v>
      </c>
      <c r="F90" s="18" t="s">
        <v>32</v>
      </c>
      <c r="G90" s="19">
        <v>42643</v>
      </c>
      <c r="H90" s="18" t="s">
        <v>29</v>
      </c>
      <c r="I90" s="18">
        <v>7</v>
      </c>
      <c r="J90" s="18" t="s">
        <v>37</v>
      </c>
    </row>
    <row r="91" spans="1:10">
      <c r="A91" s="19">
        <v>42667</v>
      </c>
      <c r="B91" s="20">
        <v>2016</v>
      </c>
      <c r="C91" s="18" t="s">
        <v>17</v>
      </c>
      <c r="D91" s="18" t="s">
        <v>35</v>
      </c>
      <c r="E91" s="18">
        <v>6</v>
      </c>
      <c r="F91" s="18" t="s">
        <v>26</v>
      </c>
      <c r="G91" s="19">
        <v>42643</v>
      </c>
      <c r="H91" s="18" t="s">
        <v>29</v>
      </c>
      <c r="I91" s="18">
        <v>7</v>
      </c>
      <c r="J91" s="18"/>
    </row>
    <row r="92" spans="1:10">
      <c r="A92" s="19">
        <v>42668</v>
      </c>
      <c r="B92" s="20">
        <v>2016</v>
      </c>
      <c r="C92" s="18">
        <v>5</v>
      </c>
      <c r="D92" s="18" t="s">
        <v>35</v>
      </c>
      <c r="E92" s="18">
        <v>15.6</v>
      </c>
      <c r="F92" s="18" t="s">
        <v>26</v>
      </c>
      <c r="G92" s="19">
        <v>42643</v>
      </c>
      <c r="H92" s="18" t="s">
        <v>29</v>
      </c>
      <c r="I92" s="18">
        <v>7</v>
      </c>
      <c r="J92" s="18"/>
    </row>
    <row r="93" spans="1:10">
      <c r="A93" s="19">
        <v>42669</v>
      </c>
      <c r="B93" s="20">
        <v>2016</v>
      </c>
      <c r="C93" s="18">
        <v>5</v>
      </c>
      <c r="D93" s="18" t="s">
        <v>35</v>
      </c>
      <c r="E93" s="18">
        <v>12.9</v>
      </c>
      <c r="F93" s="18" t="s">
        <v>26</v>
      </c>
      <c r="G93" s="19">
        <v>42643</v>
      </c>
      <c r="H93" s="18" t="s">
        <v>29</v>
      </c>
      <c r="I93" s="18">
        <v>7</v>
      </c>
      <c r="J93" s="18"/>
    </row>
    <row r="94" spans="1:10">
      <c r="A94" s="19">
        <v>42670</v>
      </c>
      <c r="B94" s="20">
        <v>2016</v>
      </c>
      <c r="C94" s="18">
        <v>5</v>
      </c>
      <c r="D94" s="18" t="s">
        <v>35</v>
      </c>
      <c r="E94" s="18">
        <v>12.9</v>
      </c>
      <c r="F94" s="18" t="s">
        <v>26</v>
      </c>
      <c r="G94" s="19">
        <v>42643</v>
      </c>
      <c r="H94" s="18" t="s">
        <v>29</v>
      </c>
      <c r="I94" s="18">
        <v>7</v>
      </c>
      <c r="J94" s="18"/>
    </row>
    <row r="95" spans="1:10">
      <c r="A95" s="19">
        <v>42671</v>
      </c>
      <c r="B95" s="20">
        <v>2016</v>
      </c>
      <c r="C95" s="18">
        <v>3</v>
      </c>
      <c r="D95" s="18" t="s">
        <v>31</v>
      </c>
      <c r="E95" s="18">
        <v>22.8</v>
      </c>
      <c r="F95" s="18" t="s">
        <v>32</v>
      </c>
      <c r="G95" s="19">
        <v>42549</v>
      </c>
      <c r="H95" s="18" t="s">
        <v>39</v>
      </c>
      <c r="I95" s="18">
        <v>21</v>
      </c>
      <c r="J95" s="18" t="s">
        <v>40</v>
      </c>
    </row>
    <row r="96" spans="1:10">
      <c r="A96" s="19">
        <v>42672</v>
      </c>
      <c r="B96" s="20">
        <v>2016</v>
      </c>
      <c r="C96" s="18" t="s">
        <v>41</v>
      </c>
      <c r="D96" s="18" t="s">
        <v>35</v>
      </c>
      <c r="E96" s="18">
        <v>6.3</v>
      </c>
      <c r="F96" s="18" t="s">
        <v>26</v>
      </c>
      <c r="G96" s="19">
        <v>42643</v>
      </c>
      <c r="H96" s="18" t="s">
        <v>29</v>
      </c>
      <c r="I96" s="18">
        <v>7</v>
      </c>
      <c r="J96" s="18" t="s">
        <v>40</v>
      </c>
    </row>
    <row r="97" spans="1:10">
      <c r="A97" s="19">
        <v>42674</v>
      </c>
      <c r="B97" s="20">
        <v>2016</v>
      </c>
      <c r="C97" s="18">
        <v>3</v>
      </c>
      <c r="D97" s="18" t="s">
        <v>31</v>
      </c>
      <c r="E97" s="18">
        <v>16.8</v>
      </c>
      <c r="F97" s="18" t="s">
        <v>32</v>
      </c>
      <c r="G97" s="19">
        <v>42549</v>
      </c>
      <c r="H97" s="18" t="s">
        <v>39</v>
      </c>
      <c r="I97" s="18">
        <v>21</v>
      </c>
      <c r="J97" s="18" t="s">
        <v>40</v>
      </c>
    </row>
    <row r="98" spans="1:10">
      <c r="A98" s="19">
        <v>42675</v>
      </c>
      <c r="B98" s="20">
        <v>2016</v>
      </c>
      <c r="C98" s="18">
        <v>3</v>
      </c>
      <c r="D98" s="18" t="s">
        <v>31</v>
      </c>
      <c r="E98" s="18">
        <v>16.2</v>
      </c>
      <c r="F98" s="18" t="s">
        <v>32</v>
      </c>
      <c r="G98" s="19">
        <v>42549</v>
      </c>
      <c r="H98" s="18" t="s">
        <v>39</v>
      </c>
      <c r="I98" s="18">
        <v>21</v>
      </c>
      <c r="J98" s="18" t="s">
        <v>40</v>
      </c>
    </row>
    <row r="99" spans="1:10">
      <c r="A99" s="19">
        <v>42676</v>
      </c>
      <c r="B99" s="20">
        <v>2016</v>
      </c>
      <c r="C99" s="18">
        <v>3</v>
      </c>
      <c r="D99" s="18" t="s">
        <v>31</v>
      </c>
      <c r="E99" s="18">
        <v>13.2</v>
      </c>
      <c r="F99" s="18" t="s">
        <v>32</v>
      </c>
      <c r="G99" s="19">
        <v>42549</v>
      </c>
      <c r="H99" s="18" t="s">
        <v>39</v>
      </c>
      <c r="I99" s="18">
        <v>21</v>
      </c>
      <c r="J99" s="18" t="s">
        <v>40</v>
      </c>
    </row>
    <row r="100" spans="1:10">
      <c r="A100" s="19">
        <v>42677</v>
      </c>
      <c r="B100" s="20">
        <v>2016</v>
      </c>
      <c r="C100" s="18">
        <v>3</v>
      </c>
      <c r="D100" s="18" t="s">
        <v>31</v>
      </c>
      <c r="E100" s="18">
        <v>13.8</v>
      </c>
      <c r="F100" s="18" t="s">
        <v>32</v>
      </c>
      <c r="G100" s="19">
        <v>42549</v>
      </c>
      <c r="H100" s="18" t="s">
        <v>39</v>
      </c>
      <c r="I100" s="18">
        <v>21</v>
      </c>
      <c r="J100" s="18" t="s">
        <v>40</v>
      </c>
    </row>
    <row r="101" spans="1:10">
      <c r="A101" s="22">
        <v>42247</v>
      </c>
      <c r="B101" s="20">
        <v>2015</v>
      </c>
      <c r="C101" s="20">
        <v>1</v>
      </c>
      <c r="D101" s="18" t="s">
        <v>42</v>
      </c>
      <c r="E101" s="18">
        <v>3</v>
      </c>
      <c r="F101" s="18" t="s">
        <v>32</v>
      </c>
      <c r="G101" s="19">
        <v>42207</v>
      </c>
      <c r="H101" s="18" t="s">
        <v>43</v>
      </c>
      <c r="I101" s="18">
        <v>28</v>
      </c>
      <c r="J101" s="18"/>
    </row>
    <row r="102" spans="1:10">
      <c r="A102" s="22">
        <v>42250</v>
      </c>
      <c r="B102" s="20">
        <v>2015</v>
      </c>
      <c r="C102" s="20">
        <v>3</v>
      </c>
      <c r="D102" s="18" t="s">
        <v>10</v>
      </c>
      <c r="E102" s="18">
        <v>4.2</v>
      </c>
      <c r="F102" s="18" t="s">
        <v>32</v>
      </c>
      <c r="G102" s="19">
        <v>42230</v>
      </c>
      <c r="H102" s="18" t="s">
        <v>44</v>
      </c>
      <c r="I102" s="18">
        <v>7</v>
      </c>
      <c r="J102" s="18"/>
    </row>
    <row r="103" spans="1:10">
      <c r="A103" s="22">
        <v>42251</v>
      </c>
      <c r="B103" s="20">
        <v>2015</v>
      </c>
      <c r="C103" s="20">
        <v>3</v>
      </c>
      <c r="D103" s="18" t="s">
        <v>10</v>
      </c>
      <c r="E103" s="18">
        <v>4.5</v>
      </c>
      <c r="F103" s="18" t="s">
        <v>32</v>
      </c>
      <c r="G103" s="23" t="s">
        <v>45</v>
      </c>
      <c r="H103" s="18" t="s">
        <v>44</v>
      </c>
      <c r="I103" s="18">
        <v>7</v>
      </c>
      <c r="J103" s="18"/>
    </row>
    <row r="104" spans="1:10">
      <c r="A104" s="22">
        <v>42252</v>
      </c>
      <c r="B104" s="20">
        <v>2015</v>
      </c>
      <c r="C104" s="20">
        <v>1</v>
      </c>
      <c r="D104" s="18" t="s">
        <v>42</v>
      </c>
      <c r="E104" s="18">
        <v>0.3</v>
      </c>
      <c r="F104" s="18" t="s">
        <v>32</v>
      </c>
      <c r="G104" s="19">
        <v>42207</v>
      </c>
      <c r="H104" s="18" t="s">
        <v>43</v>
      </c>
      <c r="I104" s="18">
        <v>28</v>
      </c>
      <c r="J104" s="18"/>
    </row>
    <row r="105" spans="1:10">
      <c r="A105" s="22">
        <v>42253</v>
      </c>
      <c r="B105" s="20">
        <v>2015</v>
      </c>
      <c r="C105" s="20">
        <v>1</v>
      </c>
      <c r="D105" s="18" t="s">
        <v>42</v>
      </c>
      <c r="E105" s="18">
        <v>0.9</v>
      </c>
      <c r="F105" s="18" t="s">
        <v>32</v>
      </c>
      <c r="G105" s="19">
        <v>42207</v>
      </c>
      <c r="H105" s="18" t="s">
        <v>43</v>
      </c>
      <c r="I105" s="18">
        <v>28</v>
      </c>
      <c r="J105" s="18"/>
    </row>
    <row r="106" spans="1:10">
      <c r="A106" s="22">
        <v>42254</v>
      </c>
      <c r="B106" s="20">
        <v>2015</v>
      </c>
      <c r="C106" s="20">
        <v>1</v>
      </c>
      <c r="D106" s="18" t="s">
        <v>42</v>
      </c>
      <c r="E106" s="18">
        <v>3.6</v>
      </c>
      <c r="F106" s="18" t="s">
        <v>32</v>
      </c>
      <c r="G106" s="19">
        <v>42207</v>
      </c>
      <c r="H106" s="18" t="s">
        <v>43</v>
      </c>
      <c r="I106" s="18">
        <v>28</v>
      </c>
      <c r="J106" s="18"/>
    </row>
    <row r="107" spans="1:10">
      <c r="A107" s="22">
        <v>42254</v>
      </c>
      <c r="B107" s="20">
        <v>2015</v>
      </c>
      <c r="C107" s="20">
        <v>3</v>
      </c>
      <c r="D107" s="18" t="s">
        <v>10</v>
      </c>
      <c r="E107" s="18">
        <v>2.4</v>
      </c>
      <c r="F107" s="18" t="s">
        <v>32</v>
      </c>
      <c r="G107" s="19">
        <v>42230</v>
      </c>
      <c r="H107" s="18" t="s">
        <v>44</v>
      </c>
      <c r="I107" s="18">
        <v>7</v>
      </c>
      <c r="J107" s="18"/>
    </row>
    <row r="108" spans="1:10">
      <c r="A108" s="22">
        <v>42255</v>
      </c>
      <c r="B108" s="20">
        <v>2015</v>
      </c>
      <c r="C108" s="20">
        <v>3</v>
      </c>
      <c r="D108" s="18" t="s">
        <v>10</v>
      </c>
      <c r="E108" s="18">
        <v>6</v>
      </c>
      <c r="F108" s="18" t="s">
        <v>46</v>
      </c>
      <c r="G108" s="19">
        <v>42230</v>
      </c>
      <c r="H108" s="18" t="s">
        <v>44</v>
      </c>
      <c r="I108" s="18">
        <v>7</v>
      </c>
      <c r="J108" s="18"/>
    </row>
    <row r="109" spans="1:10">
      <c r="A109" s="22">
        <v>42256</v>
      </c>
      <c r="B109" s="20">
        <v>2015</v>
      </c>
      <c r="C109" s="20">
        <v>3</v>
      </c>
      <c r="D109" s="18" t="s">
        <v>10</v>
      </c>
      <c r="E109" s="18">
        <v>11.7</v>
      </c>
      <c r="F109" s="18" t="s">
        <v>46</v>
      </c>
      <c r="G109" s="23" t="s">
        <v>45</v>
      </c>
      <c r="H109" s="18" t="s">
        <v>44</v>
      </c>
      <c r="I109" s="18">
        <v>7</v>
      </c>
      <c r="J109" s="18"/>
    </row>
    <row r="110" spans="1:10">
      <c r="A110" s="22">
        <v>42257</v>
      </c>
      <c r="B110" s="20">
        <v>2015</v>
      </c>
      <c r="C110" s="20">
        <v>3</v>
      </c>
      <c r="D110" s="18" t="s">
        <v>10</v>
      </c>
      <c r="E110" s="18">
        <v>11.4</v>
      </c>
      <c r="F110" s="18" t="s">
        <v>46</v>
      </c>
      <c r="G110" s="19">
        <v>42230</v>
      </c>
      <c r="H110" s="18" t="s">
        <v>44</v>
      </c>
      <c r="I110" s="18">
        <v>7</v>
      </c>
      <c r="J110" s="18"/>
    </row>
    <row r="111" spans="1:10">
      <c r="A111" s="22">
        <v>42258</v>
      </c>
      <c r="B111" s="20">
        <v>2015</v>
      </c>
      <c r="C111" s="20">
        <v>3</v>
      </c>
      <c r="D111" s="18" t="s">
        <v>10</v>
      </c>
      <c r="E111" s="18">
        <v>9</v>
      </c>
      <c r="F111" s="18" t="s">
        <v>46</v>
      </c>
      <c r="G111" s="23" t="s">
        <v>45</v>
      </c>
      <c r="H111" s="18" t="s">
        <v>44</v>
      </c>
      <c r="I111" s="18">
        <v>7</v>
      </c>
      <c r="J111" s="18"/>
    </row>
    <row r="112" spans="1:10">
      <c r="A112" s="22">
        <v>42258</v>
      </c>
      <c r="B112" s="20">
        <v>2015</v>
      </c>
      <c r="C112" s="20" t="s">
        <v>13</v>
      </c>
      <c r="D112" s="18" t="s">
        <v>10</v>
      </c>
      <c r="E112" s="18">
        <v>2.4</v>
      </c>
      <c r="F112" s="18" t="s">
        <v>46</v>
      </c>
      <c r="G112" s="19">
        <v>42230</v>
      </c>
      <c r="H112" s="18" t="s">
        <v>44</v>
      </c>
      <c r="I112" s="18">
        <v>7</v>
      </c>
      <c r="J112" s="18"/>
    </row>
    <row r="113" spans="1:10">
      <c r="A113" s="22">
        <v>42259</v>
      </c>
      <c r="B113" s="20">
        <v>2015</v>
      </c>
      <c r="C113" s="20">
        <v>1</v>
      </c>
      <c r="D113" s="18" t="s">
        <v>42</v>
      </c>
      <c r="E113" s="18">
        <v>0.9</v>
      </c>
      <c r="F113" s="18" t="s">
        <v>32</v>
      </c>
      <c r="G113" s="19">
        <v>42207</v>
      </c>
      <c r="H113" s="18" t="s">
        <v>43</v>
      </c>
      <c r="I113" s="18">
        <v>28</v>
      </c>
      <c r="J113" s="18"/>
    </row>
    <row r="114" spans="1:10">
      <c r="A114" s="22">
        <v>42259</v>
      </c>
      <c r="B114" s="20">
        <v>2015</v>
      </c>
      <c r="C114" s="20">
        <v>3</v>
      </c>
      <c r="D114" s="18" t="s">
        <v>31</v>
      </c>
      <c r="E114" s="18">
        <v>2.7</v>
      </c>
      <c r="F114" s="18" t="s">
        <v>32</v>
      </c>
      <c r="G114" s="19">
        <v>42230</v>
      </c>
      <c r="H114" s="18" t="s">
        <v>44</v>
      </c>
      <c r="I114" s="18">
        <v>7</v>
      </c>
      <c r="J114" s="18"/>
    </row>
    <row r="115" spans="1:10">
      <c r="A115" s="22">
        <v>42261</v>
      </c>
      <c r="B115" s="20">
        <v>2015</v>
      </c>
      <c r="C115" s="20" t="s">
        <v>13</v>
      </c>
      <c r="D115" s="18" t="s">
        <v>10</v>
      </c>
      <c r="E115" s="18">
        <v>3.6</v>
      </c>
      <c r="F115" s="18" t="s">
        <v>46</v>
      </c>
      <c r="G115" s="23" t="s">
        <v>45</v>
      </c>
      <c r="H115" s="18" t="s">
        <v>44</v>
      </c>
      <c r="I115" s="18">
        <v>7</v>
      </c>
      <c r="J115" s="18"/>
    </row>
    <row r="116" spans="1:10">
      <c r="A116" s="22">
        <v>42262</v>
      </c>
      <c r="B116" s="20">
        <v>2015</v>
      </c>
      <c r="C116" s="20" t="s">
        <v>13</v>
      </c>
      <c r="D116" s="18" t="s">
        <v>10</v>
      </c>
      <c r="E116" s="18">
        <v>3.3</v>
      </c>
      <c r="F116" s="18" t="s">
        <v>46</v>
      </c>
      <c r="G116" s="23">
        <v>42230</v>
      </c>
      <c r="H116" s="18" t="s">
        <v>44</v>
      </c>
      <c r="I116" s="18">
        <v>7</v>
      </c>
      <c r="J116" s="18"/>
    </row>
    <row r="117" spans="1:10">
      <c r="A117" s="22">
        <v>42263</v>
      </c>
      <c r="B117" s="20">
        <v>2015</v>
      </c>
      <c r="C117" s="20" t="s">
        <v>13</v>
      </c>
      <c r="D117" s="18" t="s">
        <v>10</v>
      </c>
      <c r="E117" s="18">
        <v>3.6</v>
      </c>
      <c r="F117" s="18" t="s">
        <v>46</v>
      </c>
      <c r="G117" s="23">
        <v>42230</v>
      </c>
      <c r="H117" s="18" t="s">
        <v>44</v>
      </c>
      <c r="I117" s="18">
        <v>7</v>
      </c>
      <c r="J117" s="18"/>
    </row>
    <row r="118" spans="1:10">
      <c r="A118" s="22">
        <v>42264</v>
      </c>
      <c r="B118" s="20">
        <v>2015</v>
      </c>
      <c r="C118" s="20" t="s">
        <v>13</v>
      </c>
      <c r="D118" s="18" t="s">
        <v>10</v>
      </c>
      <c r="E118" s="18">
        <v>12</v>
      </c>
      <c r="F118" s="18" t="s">
        <v>46</v>
      </c>
      <c r="G118" s="23">
        <v>42230</v>
      </c>
      <c r="H118" s="18" t="s">
        <v>44</v>
      </c>
      <c r="I118" s="18">
        <v>7</v>
      </c>
      <c r="J118" s="18"/>
    </row>
    <row r="119" spans="1:10">
      <c r="A119" s="22">
        <v>42265</v>
      </c>
      <c r="B119" s="20">
        <v>2015</v>
      </c>
      <c r="C119" s="20" t="s">
        <v>13</v>
      </c>
      <c r="D119" s="18" t="s">
        <v>10</v>
      </c>
      <c r="E119" s="18">
        <v>13.5</v>
      </c>
      <c r="F119" s="18" t="s">
        <v>46</v>
      </c>
      <c r="G119" s="23">
        <v>42230</v>
      </c>
      <c r="H119" s="18" t="s">
        <v>44</v>
      </c>
      <c r="I119" s="18">
        <v>7</v>
      </c>
      <c r="J119" s="18"/>
    </row>
    <row r="120" spans="1:10">
      <c r="A120" s="22">
        <v>42266</v>
      </c>
      <c r="B120" s="20">
        <v>2015</v>
      </c>
      <c r="C120" s="20">
        <v>1</v>
      </c>
      <c r="D120" s="18" t="s">
        <v>42</v>
      </c>
      <c r="E120" s="18">
        <v>1.8</v>
      </c>
      <c r="F120" s="18" t="s">
        <v>32</v>
      </c>
      <c r="G120" s="19">
        <v>42207</v>
      </c>
      <c r="H120" s="18" t="s">
        <v>43</v>
      </c>
      <c r="I120" s="18">
        <v>28</v>
      </c>
      <c r="J120" s="18"/>
    </row>
    <row r="121" spans="1:10">
      <c r="A121" s="22">
        <v>42266</v>
      </c>
      <c r="B121" s="20">
        <v>2015</v>
      </c>
      <c r="C121" s="20" t="s">
        <v>13</v>
      </c>
      <c r="D121" s="18" t="s">
        <v>31</v>
      </c>
      <c r="E121" s="18">
        <v>1.5</v>
      </c>
      <c r="F121" s="18" t="s">
        <v>32</v>
      </c>
      <c r="G121" s="23" t="s">
        <v>45</v>
      </c>
      <c r="H121" s="18" t="s">
        <v>44</v>
      </c>
      <c r="I121" s="18">
        <v>7</v>
      </c>
      <c r="J121" s="18"/>
    </row>
    <row r="122" spans="1:10">
      <c r="A122" s="22">
        <v>42268</v>
      </c>
      <c r="B122" s="20">
        <v>2015</v>
      </c>
      <c r="C122" s="20">
        <v>3</v>
      </c>
      <c r="D122" s="18" t="s">
        <v>10</v>
      </c>
      <c r="E122" s="18">
        <v>17.100000000000001</v>
      </c>
      <c r="F122" s="18" t="s">
        <v>46</v>
      </c>
      <c r="G122" s="23" t="s">
        <v>45</v>
      </c>
      <c r="H122" s="18" t="s">
        <v>44</v>
      </c>
      <c r="I122" s="18">
        <v>7</v>
      </c>
      <c r="J122" s="18"/>
    </row>
    <row r="123" spans="1:10">
      <c r="A123" s="22">
        <v>42269</v>
      </c>
      <c r="B123" s="20">
        <v>2015</v>
      </c>
      <c r="C123" s="20">
        <v>3</v>
      </c>
      <c r="D123" s="18" t="s">
        <v>10</v>
      </c>
      <c r="E123" s="18">
        <v>11.4</v>
      </c>
      <c r="F123" s="18" t="s">
        <v>46</v>
      </c>
      <c r="G123" s="23" t="s">
        <v>45</v>
      </c>
      <c r="H123" s="18" t="s">
        <v>44</v>
      </c>
      <c r="I123" s="18">
        <v>7</v>
      </c>
      <c r="J123" s="18"/>
    </row>
    <row r="124" spans="1:10">
      <c r="A124" s="22">
        <v>42270</v>
      </c>
      <c r="B124" s="20">
        <v>2015</v>
      </c>
      <c r="C124" s="20">
        <v>3</v>
      </c>
      <c r="D124" s="18" t="s">
        <v>10</v>
      </c>
      <c r="E124" s="18">
        <v>12.6</v>
      </c>
      <c r="F124" s="18" t="s">
        <v>46</v>
      </c>
      <c r="G124" s="23" t="s">
        <v>45</v>
      </c>
      <c r="H124" s="18" t="s">
        <v>44</v>
      </c>
      <c r="I124" s="18">
        <v>7</v>
      </c>
      <c r="J124" s="18"/>
    </row>
    <row r="125" spans="1:10">
      <c r="A125" s="22">
        <v>42271</v>
      </c>
      <c r="B125" s="20">
        <v>2015</v>
      </c>
      <c r="C125" s="20">
        <v>3</v>
      </c>
      <c r="D125" s="18" t="s">
        <v>10</v>
      </c>
      <c r="E125" s="18">
        <v>14.4</v>
      </c>
      <c r="F125" s="18" t="s">
        <v>46</v>
      </c>
      <c r="G125" s="23" t="s">
        <v>45</v>
      </c>
      <c r="H125" s="18" t="s">
        <v>44</v>
      </c>
      <c r="I125" s="18">
        <v>7</v>
      </c>
      <c r="J125" s="18"/>
    </row>
    <row r="126" spans="1:10">
      <c r="A126" s="22">
        <v>42272</v>
      </c>
      <c r="B126" s="20">
        <v>2015</v>
      </c>
      <c r="C126" s="20">
        <v>3</v>
      </c>
      <c r="D126" s="18" t="s">
        <v>10</v>
      </c>
      <c r="E126" s="18">
        <v>15.3</v>
      </c>
      <c r="F126" s="18" t="s">
        <v>46</v>
      </c>
      <c r="G126" s="23" t="s">
        <v>45</v>
      </c>
      <c r="H126" s="18" t="s">
        <v>44</v>
      </c>
      <c r="I126" s="18">
        <v>7</v>
      </c>
      <c r="J126" s="18"/>
    </row>
    <row r="127" spans="1:10">
      <c r="A127" s="22">
        <v>42273</v>
      </c>
      <c r="B127" s="20">
        <v>2015</v>
      </c>
      <c r="C127" s="20">
        <v>3</v>
      </c>
      <c r="D127" s="18" t="s">
        <v>10</v>
      </c>
      <c r="E127" s="18">
        <v>2.7</v>
      </c>
      <c r="F127" s="18" t="s">
        <v>46</v>
      </c>
      <c r="G127" s="23" t="s">
        <v>45</v>
      </c>
      <c r="H127" s="18" t="s">
        <v>44</v>
      </c>
      <c r="I127" s="18">
        <v>7</v>
      </c>
      <c r="J127" s="18"/>
    </row>
    <row r="128" spans="1:10">
      <c r="A128" s="22">
        <v>42273</v>
      </c>
      <c r="B128" s="20">
        <v>2015</v>
      </c>
      <c r="C128" s="20" t="s">
        <v>16</v>
      </c>
      <c r="D128" s="18" t="s">
        <v>28</v>
      </c>
      <c r="E128" s="18">
        <v>3.6</v>
      </c>
      <c r="F128" s="18" t="s">
        <v>46</v>
      </c>
      <c r="G128" s="23">
        <v>42265</v>
      </c>
      <c r="H128" s="18" t="s">
        <v>44</v>
      </c>
      <c r="I128" s="18">
        <v>7</v>
      </c>
      <c r="J128" s="18"/>
    </row>
    <row r="129" spans="1:10">
      <c r="A129" s="22">
        <v>42273</v>
      </c>
      <c r="B129" s="20">
        <v>2015</v>
      </c>
      <c r="C129" s="20">
        <v>3</v>
      </c>
      <c r="D129" s="18" t="s">
        <v>31</v>
      </c>
      <c r="E129" s="18">
        <v>3.3</v>
      </c>
      <c r="F129" s="18" t="s">
        <v>32</v>
      </c>
      <c r="G129" s="23" t="s">
        <v>45</v>
      </c>
      <c r="H129" s="18" t="s">
        <v>44</v>
      </c>
      <c r="I129" s="18">
        <v>7</v>
      </c>
      <c r="J129" s="18"/>
    </row>
    <row r="130" spans="1:10">
      <c r="A130" s="22">
        <v>42275</v>
      </c>
      <c r="B130" s="20">
        <v>2015</v>
      </c>
      <c r="C130" s="20">
        <v>3</v>
      </c>
      <c r="D130" s="18" t="s">
        <v>10</v>
      </c>
      <c r="E130" s="18">
        <v>17.100000000000001</v>
      </c>
      <c r="F130" s="18" t="s">
        <v>46</v>
      </c>
      <c r="G130" s="23" t="s">
        <v>45</v>
      </c>
      <c r="H130" s="18" t="s">
        <v>44</v>
      </c>
      <c r="I130" s="18">
        <v>7</v>
      </c>
      <c r="J130" s="18"/>
    </row>
    <row r="131" spans="1:10">
      <c r="A131" s="22">
        <v>42276</v>
      </c>
      <c r="B131" s="20">
        <v>2015</v>
      </c>
      <c r="C131" s="20">
        <v>3</v>
      </c>
      <c r="D131" s="18" t="s">
        <v>10</v>
      </c>
      <c r="E131" s="18">
        <v>16.2</v>
      </c>
      <c r="F131" s="18" t="s">
        <v>46</v>
      </c>
      <c r="G131" s="23" t="s">
        <v>45</v>
      </c>
      <c r="H131" s="18" t="s">
        <v>44</v>
      </c>
      <c r="I131" s="18">
        <v>7</v>
      </c>
      <c r="J131" s="18"/>
    </row>
    <row r="132" spans="1:10">
      <c r="A132" s="22">
        <v>42277</v>
      </c>
      <c r="B132" s="20">
        <v>2015</v>
      </c>
      <c r="C132" s="20" t="s">
        <v>16</v>
      </c>
      <c r="D132" s="18" t="s">
        <v>28</v>
      </c>
      <c r="E132" s="18">
        <v>15.3</v>
      </c>
      <c r="F132" s="18" t="s">
        <v>46</v>
      </c>
      <c r="G132" s="19">
        <v>42265</v>
      </c>
      <c r="H132" s="18" t="s">
        <v>44</v>
      </c>
      <c r="I132" s="18">
        <v>7</v>
      </c>
      <c r="J132" s="18"/>
    </row>
    <row r="133" spans="1:10">
      <c r="A133" s="22">
        <v>42278</v>
      </c>
      <c r="B133" s="20">
        <v>2015</v>
      </c>
      <c r="C133" s="20" t="s">
        <v>16</v>
      </c>
      <c r="D133" s="18" t="s">
        <v>28</v>
      </c>
      <c r="E133" s="18">
        <v>13.8</v>
      </c>
      <c r="F133" s="18" t="s">
        <v>46</v>
      </c>
      <c r="G133" s="19">
        <v>42265</v>
      </c>
      <c r="H133" s="18" t="s">
        <v>44</v>
      </c>
      <c r="I133" s="18">
        <v>7</v>
      </c>
      <c r="J133" s="18"/>
    </row>
    <row r="134" spans="1:10">
      <c r="A134" s="22">
        <v>42279</v>
      </c>
      <c r="B134" s="20">
        <v>2015</v>
      </c>
      <c r="C134" s="20" t="s">
        <v>16</v>
      </c>
      <c r="D134" s="18" t="s">
        <v>28</v>
      </c>
      <c r="E134" s="18">
        <v>16.5</v>
      </c>
      <c r="F134" s="18" t="s">
        <v>46</v>
      </c>
      <c r="G134" s="19">
        <v>42265</v>
      </c>
      <c r="H134" s="18" t="s">
        <v>44</v>
      </c>
      <c r="I134" s="18">
        <v>7</v>
      </c>
      <c r="J134" s="18"/>
    </row>
    <row r="135" spans="1:10">
      <c r="A135" s="22">
        <v>42280</v>
      </c>
      <c r="B135" s="20">
        <v>2015</v>
      </c>
      <c r="C135" s="20" t="s">
        <v>16</v>
      </c>
      <c r="D135" s="18" t="s">
        <v>28</v>
      </c>
      <c r="E135" s="18">
        <v>7.2</v>
      </c>
      <c r="F135" s="18" t="s">
        <v>46</v>
      </c>
      <c r="G135" s="19">
        <v>42265</v>
      </c>
      <c r="H135" s="18" t="s">
        <v>44</v>
      </c>
      <c r="I135" s="18">
        <v>7</v>
      </c>
      <c r="J135" s="18"/>
    </row>
    <row r="136" spans="1:10">
      <c r="A136" s="22">
        <v>42280</v>
      </c>
      <c r="B136" s="20">
        <v>2015</v>
      </c>
      <c r="C136" s="20" t="s">
        <v>16</v>
      </c>
      <c r="D136" s="18" t="s">
        <v>31</v>
      </c>
      <c r="E136" s="18">
        <v>3.6</v>
      </c>
      <c r="F136" s="18" t="s">
        <v>32</v>
      </c>
      <c r="G136" s="19">
        <v>42265</v>
      </c>
      <c r="H136" s="18" t="s">
        <v>44</v>
      </c>
      <c r="I136" s="18">
        <v>7</v>
      </c>
      <c r="J136" s="18"/>
    </row>
    <row r="137" spans="1:10">
      <c r="A137" s="22">
        <v>42282</v>
      </c>
      <c r="B137" s="20">
        <v>2015</v>
      </c>
      <c r="C137" s="20" t="s">
        <v>16</v>
      </c>
      <c r="D137" s="18" t="s">
        <v>28</v>
      </c>
      <c r="E137" s="18">
        <v>16.8</v>
      </c>
      <c r="F137" s="18" t="s">
        <v>46</v>
      </c>
      <c r="G137" s="19">
        <v>42265</v>
      </c>
      <c r="H137" s="18" t="s">
        <v>44</v>
      </c>
      <c r="I137" s="18">
        <v>7</v>
      </c>
      <c r="J137" s="18"/>
    </row>
    <row r="138" spans="1:10">
      <c r="A138" s="22">
        <v>42283</v>
      </c>
      <c r="B138" s="20">
        <v>2015</v>
      </c>
      <c r="C138" s="20" t="s">
        <v>16</v>
      </c>
      <c r="D138" s="18" t="s">
        <v>28</v>
      </c>
      <c r="E138" s="18">
        <v>5.0999999999999996</v>
      </c>
      <c r="F138" s="18" t="s">
        <v>46</v>
      </c>
      <c r="G138" s="19">
        <v>42265</v>
      </c>
      <c r="H138" s="18" t="s">
        <v>44</v>
      </c>
      <c r="I138" s="18">
        <v>7</v>
      </c>
      <c r="J138" s="18"/>
    </row>
    <row r="139" spans="1:10">
      <c r="A139" s="22">
        <v>42283</v>
      </c>
      <c r="B139" s="20">
        <v>2015</v>
      </c>
      <c r="C139" s="20">
        <v>4</v>
      </c>
      <c r="D139" s="18" t="s">
        <v>33</v>
      </c>
      <c r="E139" s="18">
        <v>16.8</v>
      </c>
      <c r="F139" s="18" t="s">
        <v>32</v>
      </c>
      <c r="G139" s="19">
        <v>42265</v>
      </c>
      <c r="H139" s="18" t="s">
        <v>44</v>
      </c>
      <c r="I139" s="18">
        <v>7</v>
      </c>
      <c r="J139" s="18"/>
    </row>
    <row r="140" spans="1:10">
      <c r="A140" s="22">
        <v>42284</v>
      </c>
      <c r="B140" s="20">
        <v>2015</v>
      </c>
      <c r="C140" s="20" t="s">
        <v>16</v>
      </c>
      <c r="D140" s="18" t="s">
        <v>28</v>
      </c>
      <c r="E140" s="18">
        <v>5.0999999999999996</v>
      </c>
      <c r="F140" s="18" t="s">
        <v>46</v>
      </c>
      <c r="G140" s="19">
        <v>42265</v>
      </c>
      <c r="H140" s="18" t="s">
        <v>44</v>
      </c>
      <c r="I140" s="18">
        <v>7</v>
      </c>
      <c r="J140" s="18"/>
    </row>
    <row r="141" spans="1:10">
      <c r="A141" s="22">
        <v>42284</v>
      </c>
      <c r="B141" s="20">
        <v>2015</v>
      </c>
      <c r="C141" s="20">
        <v>4</v>
      </c>
      <c r="D141" s="18" t="s">
        <v>33</v>
      </c>
      <c r="E141" s="18">
        <v>14.1</v>
      </c>
      <c r="F141" s="18" t="s">
        <v>32</v>
      </c>
      <c r="G141" s="19">
        <v>42265</v>
      </c>
      <c r="H141" s="18" t="s">
        <v>44</v>
      </c>
      <c r="I141" s="18">
        <v>7</v>
      </c>
      <c r="J141" s="18"/>
    </row>
    <row r="142" spans="1:10">
      <c r="A142" s="22">
        <v>42285</v>
      </c>
      <c r="B142" s="20">
        <v>2015</v>
      </c>
      <c r="C142" s="20" t="s">
        <v>13</v>
      </c>
      <c r="D142" s="18" t="s">
        <v>10</v>
      </c>
      <c r="E142" s="18">
        <v>12.6</v>
      </c>
      <c r="F142" s="18" t="s">
        <v>32</v>
      </c>
      <c r="G142" s="23" t="s">
        <v>45</v>
      </c>
      <c r="H142" s="18" t="s">
        <v>44</v>
      </c>
      <c r="I142" s="18">
        <v>7</v>
      </c>
      <c r="J142" s="18"/>
    </row>
    <row r="143" spans="1:10">
      <c r="A143" s="22">
        <v>42286</v>
      </c>
      <c r="B143" s="20">
        <v>2015</v>
      </c>
      <c r="C143" s="20" t="s">
        <v>13</v>
      </c>
      <c r="D143" s="18" t="s">
        <v>10</v>
      </c>
      <c r="E143" s="18">
        <v>16.2</v>
      </c>
      <c r="F143" s="18" t="s">
        <v>32</v>
      </c>
      <c r="G143" s="23" t="s">
        <v>45</v>
      </c>
      <c r="H143" s="18" t="s">
        <v>44</v>
      </c>
      <c r="I143" s="18">
        <v>7</v>
      </c>
      <c r="J143" s="18"/>
    </row>
    <row r="144" spans="1:10">
      <c r="A144" s="22">
        <v>42287</v>
      </c>
      <c r="B144" s="20">
        <v>2015</v>
      </c>
      <c r="C144" s="20" t="s">
        <v>13</v>
      </c>
      <c r="D144" s="18" t="s">
        <v>10</v>
      </c>
      <c r="E144" s="18">
        <v>4.5</v>
      </c>
      <c r="F144" s="18" t="s">
        <v>32</v>
      </c>
      <c r="G144" s="23" t="s">
        <v>45</v>
      </c>
      <c r="H144" s="18" t="s">
        <v>44</v>
      </c>
      <c r="I144" s="18">
        <v>7</v>
      </c>
      <c r="J144" s="18"/>
    </row>
    <row r="145" spans="1:10">
      <c r="A145" s="22">
        <v>42288</v>
      </c>
      <c r="B145" s="20">
        <v>2015</v>
      </c>
      <c r="C145" s="20" t="s">
        <v>47</v>
      </c>
      <c r="D145" s="18" t="s">
        <v>28</v>
      </c>
      <c r="E145" s="18">
        <v>3.6</v>
      </c>
      <c r="F145" s="18" t="s">
        <v>46</v>
      </c>
      <c r="G145" s="19">
        <v>42273</v>
      </c>
      <c r="H145" s="18" t="s">
        <v>44</v>
      </c>
      <c r="I145" s="18">
        <v>7</v>
      </c>
      <c r="J145" s="18"/>
    </row>
    <row r="146" spans="1:10">
      <c r="A146" s="22">
        <v>42288</v>
      </c>
      <c r="B146" s="20">
        <v>2015</v>
      </c>
      <c r="C146" s="20" t="s">
        <v>48</v>
      </c>
      <c r="D146" s="18" t="s">
        <v>31</v>
      </c>
      <c r="E146" s="18">
        <v>7.2</v>
      </c>
      <c r="F146" s="18" t="s">
        <v>32</v>
      </c>
      <c r="G146" s="19">
        <v>42265</v>
      </c>
      <c r="H146" s="18" t="s">
        <v>44</v>
      </c>
      <c r="I146" s="18">
        <v>7</v>
      </c>
      <c r="J146" s="18"/>
    </row>
    <row r="147" spans="1:10">
      <c r="A147" s="22">
        <v>42289</v>
      </c>
      <c r="B147" s="20">
        <v>2015</v>
      </c>
      <c r="C147" s="20" t="s">
        <v>13</v>
      </c>
      <c r="D147" s="18" t="s">
        <v>10</v>
      </c>
      <c r="E147" s="18">
        <v>4.8</v>
      </c>
      <c r="F147" s="18" t="s">
        <v>32</v>
      </c>
      <c r="G147" s="23" t="s">
        <v>45</v>
      </c>
      <c r="H147" s="18" t="s">
        <v>44</v>
      </c>
      <c r="I147" s="18">
        <v>7</v>
      </c>
      <c r="J147" s="18"/>
    </row>
    <row r="148" spans="1:10">
      <c r="A148" s="22">
        <v>42289</v>
      </c>
      <c r="B148" s="20">
        <v>2015</v>
      </c>
      <c r="C148" s="20" t="s">
        <v>48</v>
      </c>
      <c r="D148" s="18" t="s">
        <v>28</v>
      </c>
      <c r="E148" s="18">
        <v>4.2</v>
      </c>
      <c r="F148" s="18" t="s">
        <v>46</v>
      </c>
      <c r="G148" s="19">
        <v>42265</v>
      </c>
      <c r="H148" s="18" t="s">
        <v>44</v>
      </c>
      <c r="I148" s="18">
        <v>7</v>
      </c>
      <c r="J148" s="18"/>
    </row>
    <row r="149" spans="1:10">
      <c r="A149" s="22">
        <v>42289</v>
      </c>
      <c r="B149" s="20">
        <v>2015</v>
      </c>
      <c r="C149" s="20" t="s">
        <v>17</v>
      </c>
      <c r="D149" s="18" t="s">
        <v>35</v>
      </c>
      <c r="E149" s="18">
        <v>2.7</v>
      </c>
      <c r="F149" s="18" t="s">
        <v>46</v>
      </c>
      <c r="G149" s="19">
        <v>42273</v>
      </c>
      <c r="H149" s="18" t="s">
        <v>44</v>
      </c>
      <c r="I149" s="18">
        <v>7</v>
      </c>
      <c r="J149" s="18"/>
    </row>
    <row r="150" spans="1:10">
      <c r="A150" s="22">
        <v>42290</v>
      </c>
      <c r="B150" s="20">
        <v>2015</v>
      </c>
      <c r="C150" s="20">
        <v>5</v>
      </c>
      <c r="D150" s="18" t="s">
        <v>35</v>
      </c>
      <c r="E150" s="18">
        <v>17.100000000000001</v>
      </c>
      <c r="F150" s="18" t="s">
        <v>46</v>
      </c>
      <c r="G150" s="19">
        <v>42273</v>
      </c>
      <c r="H150" s="18" t="s">
        <v>44</v>
      </c>
      <c r="I150" s="18">
        <v>7</v>
      </c>
      <c r="J150" s="18"/>
    </row>
    <row r="151" spans="1:10">
      <c r="A151" s="22">
        <v>42291</v>
      </c>
      <c r="B151" s="20">
        <v>2015</v>
      </c>
      <c r="C151" s="20">
        <v>5</v>
      </c>
      <c r="D151" s="18" t="s">
        <v>35</v>
      </c>
      <c r="E151" s="18">
        <v>4.8</v>
      </c>
      <c r="F151" s="18" t="s">
        <v>46</v>
      </c>
      <c r="G151" s="19">
        <v>42273</v>
      </c>
      <c r="H151" s="18" t="s">
        <v>44</v>
      </c>
      <c r="I151" s="18">
        <v>7</v>
      </c>
      <c r="J151" s="18"/>
    </row>
    <row r="152" spans="1:10">
      <c r="A152" s="22">
        <v>42292</v>
      </c>
      <c r="B152" s="20">
        <v>2015</v>
      </c>
      <c r="C152" s="20">
        <v>5</v>
      </c>
      <c r="D152" s="18" t="s">
        <v>35</v>
      </c>
      <c r="E152" s="18">
        <v>9.6</v>
      </c>
      <c r="F152" s="18" t="s">
        <v>46</v>
      </c>
      <c r="G152" s="19">
        <v>42273</v>
      </c>
      <c r="H152" s="18" t="s">
        <v>44</v>
      </c>
      <c r="I152" s="18">
        <v>7</v>
      </c>
      <c r="J152" s="18"/>
    </row>
    <row r="153" spans="1:10">
      <c r="A153" s="22">
        <v>42293</v>
      </c>
      <c r="B153" s="20">
        <v>2015</v>
      </c>
      <c r="C153" s="20">
        <v>5</v>
      </c>
      <c r="D153" s="18" t="s">
        <v>35</v>
      </c>
      <c r="E153" s="18">
        <v>19.5</v>
      </c>
      <c r="F153" s="18" t="s">
        <v>46</v>
      </c>
      <c r="G153" s="19">
        <v>42273</v>
      </c>
      <c r="H153" s="18" t="s">
        <v>44</v>
      </c>
      <c r="I153" s="18">
        <v>7</v>
      </c>
      <c r="J153" s="18"/>
    </row>
    <row r="154" spans="1:10">
      <c r="A154" s="22">
        <v>42294</v>
      </c>
      <c r="B154" s="20">
        <v>2015</v>
      </c>
      <c r="C154" s="20">
        <v>5</v>
      </c>
      <c r="D154" s="18" t="s">
        <v>28</v>
      </c>
      <c r="E154" s="18">
        <v>4.5</v>
      </c>
      <c r="F154" s="18" t="s">
        <v>32</v>
      </c>
      <c r="G154" s="19">
        <v>42273</v>
      </c>
      <c r="H154" s="18" t="s">
        <v>44</v>
      </c>
      <c r="I154" s="18">
        <v>7</v>
      </c>
      <c r="J154" s="18"/>
    </row>
    <row r="155" spans="1:10">
      <c r="A155" s="22">
        <v>42295</v>
      </c>
      <c r="B155" s="20">
        <v>2015</v>
      </c>
      <c r="C155" s="20">
        <v>6</v>
      </c>
      <c r="D155" s="18" t="s">
        <v>33</v>
      </c>
      <c r="E155" s="18">
        <v>3.6</v>
      </c>
      <c r="F155" s="18" t="s">
        <v>46</v>
      </c>
      <c r="G155" s="19">
        <v>42265</v>
      </c>
      <c r="H155" s="18" t="s">
        <v>44</v>
      </c>
      <c r="I155" s="18">
        <v>7</v>
      </c>
      <c r="J155" s="18"/>
    </row>
    <row r="156" spans="1:10">
      <c r="A156" s="22">
        <v>42295</v>
      </c>
      <c r="B156" s="20">
        <v>2015</v>
      </c>
      <c r="C156" s="20">
        <v>5</v>
      </c>
      <c r="D156" s="18" t="s">
        <v>31</v>
      </c>
      <c r="E156" s="18">
        <v>2.1</v>
      </c>
      <c r="F156" s="18" t="s">
        <v>32</v>
      </c>
      <c r="G156" s="19">
        <v>42273</v>
      </c>
      <c r="H156" s="18" t="s">
        <v>44</v>
      </c>
      <c r="I156" s="18">
        <v>7</v>
      </c>
      <c r="J156" s="18"/>
    </row>
    <row r="157" spans="1:10">
      <c r="A157" s="22">
        <v>42296</v>
      </c>
      <c r="B157" s="20">
        <v>2015</v>
      </c>
      <c r="C157" s="20">
        <v>5</v>
      </c>
      <c r="D157" s="18" t="s">
        <v>35</v>
      </c>
      <c r="E157" s="18">
        <v>17.7</v>
      </c>
      <c r="F157" s="18" t="s">
        <v>46</v>
      </c>
      <c r="G157" s="23">
        <v>42273</v>
      </c>
      <c r="H157" s="18" t="s">
        <v>44</v>
      </c>
      <c r="I157" s="18">
        <v>7</v>
      </c>
      <c r="J157" s="18"/>
    </row>
    <row r="158" spans="1:10">
      <c r="A158" s="22">
        <v>42297</v>
      </c>
      <c r="B158" s="20">
        <v>2015</v>
      </c>
      <c r="C158" s="20">
        <v>5</v>
      </c>
      <c r="D158" s="18" t="s">
        <v>35</v>
      </c>
      <c r="E158" s="20">
        <v>21</v>
      </c>
      <c r="F158" s="18" t="s">
        <v>46</v>
      </c>
      <c r="G158" s="19">
        <v>42273</v>
      </c>
      <c r="H158" s="18" t="s">
        <v>44</v>
      </c>
      <c r="I158" s="20">
        <v>7</v>
      </c>
      <c r="J158" s="18"/>
    </row>
    <row r="159" spans="1:10">
      <c r="A159" s="22">
        <v>42298</v>
      </c>
      <c r="B159" s="20">
        <v>2015</v>
      </c>
      <c r="C159" s="20">
        <v>5</v>
      </c>
      <c r="D159" s="18" t="s">
        <v>35</v>
      </c>
      <c r="E159" s="20">
        <v>11.4</v>
      </c>
      <c r="F159" s="18" t="s">
        <v>46</v>
      </c>
      <c r="G159" s="19">
        <v>42273</v>
      </c>
      <c r="H159" s="18" t="s">
        <v>44</v>
      </c>
      <c r="I159" s="20">
        <v>7</v>
      </c>
      <c r="J159" s="18"/>
    </row>
    <row r="160" spans="1:10">
      <c r="A160" s="22">
        <v>42298</v>
      </c>
      <c r="B160" s="20">
        <v>2015</v>
      </c>
      <c r="C160" s="20">
        <v>6</v>
      </c>
      <c r="D160" s="18" t="s">
        <v>33</v>
      </c>
      <c r="E160" s="20">
        <v>7.2</v>
      </c>
      <c r="F160" s="18" t="s">
        <v>46</v>
      </c>
      <c r="G160" s="19">
        <v>42265</v>
      </c>
      <c r="H160" s="18" t="s">
        <v>44</v>
      </c>
      <c r="I160" s="20">
        <v>7</v>
      </c>
      <c r="J160" s="18"/>
    </row>
    <row r="161" spans="1:10">
      <c r="A161" s="22">
        <v>42299</v>
      </c>
      <c r="B161" s="20">
        <v>2015</v>
      </c>
      <c r="C161" s="20">
        <v>6</v>
      </c>
      <c r="D161" s="18" t="s">
        <v>33</v>
      </c>
      <c r="E161" s="20">
        <v>16.8</v>
      </c>
      <c r="F161" s="18" t="s">
        <v>46</v>
      </c>
      <c r="G161" s="19">
        <v>42265</v>
      </c>
      <c r="H161" s="18" t="s">
        <v>44</v>
      </c>
      <c r="I161" s="20">
        <v>7</v>
      </c>
      <c r="J161" s="18"/>
    </row>
    <row r="162" spans="1:10">
      <c r="A162" s="22">
        <v>42300</v>
      </c>
      <c r="B162" s="20">
        <v>2015</v>
      </c>
      <c r="C162" s="20">
        <v>6</v>
      </c>
      <c r="D162" s="18" t="s">
        <v>33</v>
      </c>
      <c r="E162" s="20">
        <v>23.1</v>
      </c>
      <c r="F162" s="18" t="s">
        <v>46</v>
      </c>
      <c r="G162" s="19">
        <v>42265</v>
      </c>
      <c r="H162" s="18" t="s">
        <v>44</v>
      </c>
      <c r="I162" s="20">
        <v>7</v>
      </c>
      <c r="J162" s="18"/>
    </row>
    <row r="163" spans="1:10">
      <c r="A163" s="22">
        <v>42301</v>
      </c>
      <c r="B163" s="20">
        <v>2015</v>
      </c>
      <c r="C163" s="20">
        <v>6</v>
      </c>
      <c r="D163" s="18" t="s">
        <v>33</v>
      </c>
      <c r="E163" s="20">
        <v>2.7</v>
      </c>
      <c r="F163" s="18" t="s">
        <v>46</v>
      </c>
      <c r="G163" s="19">
        <v>42265</v>
      </c>
      <c r="H163" s="18" t="s">
        <v>44</v>
      </c>
      <c r="I163" s="20">
        <v>7</v>
      </c>
      <c r="J163" s="18"/>
    </row>
    <row r="164" spans="1:10">
      <c r="A164" s="22">
        <v>42301</v>
      </c>
      <c r="B164" s="20">
        <v>2015</v>
      </c>
      <c r="C164" s="20">
        <v>6</v>
      </c>
      <c r="D164" s="18" t="s">
        <v>28</v>
      </c>
      <c r="E164" s="20">
        <v>8.1</v>
      </c>
      <c r="F164" s="18" t="s">
        <v>32</v>
      </c>
      <c r="G164" s="19">
        <v>42265</v>
      </c>
      <c r="H164" s="18" t="s">
        <v>44</v>
      </c>
      <c r="I164" s="20">
        <v>7</v>
      </c>
      <c r="J164" s="18"/>
    </row>
    <row r="165" spans="1:10">
      <c r="A165" s="22">
        <v>42301</v>
      </c>
      <c r="B165" s="20">
        <v>2015</v>
      </c>
      <c r="C165" s="20">
        <v>6</v>
      </c>
      <c r="D165" s="18" t="s">
        <v>31</v>
      </c>
      <c r="E165" s="20">
        <v>4.8</v>
      </c>
      <c r="F165" s="18" t="s">
        <v>32</v>
      </c>
      <c r="G165" s="19">
        <v>42265</v>
      </c>
      <c r="H165" s="18" t="s">
        <v>44</v>
      </c>
      <c r="I165" s="20">
        <v>7</v>
      </c>
      <c r="J165" s="18"/>
    </row>
    <row r="166" spans="1:10">
      <c r="A166" s="22">
        <v>42303</v>
      </c>
      <c r="B166" s="20">
        <v>2015</v>
      </c>
      <c r="C166" s="20" t="s">
        <v>17</v>
      </c>
      <c r="D166" s="18" t="s">
        <v>35</v>
      </c>
      <c r="E166" s="20">
        <v>19.2</v>
      </c>
      <c r="F166" s="18" t="s">
        <v>46</v>
      </c>
      <c r="G166" s="19">
        <v>42273</v>
      </c>
      <c r="H166" s="18" t="s">
        <v>44</v>
      </c>
      <c r="I166" s="20">
        <v>7</v>
      </c>
      <c r="J166" s="18"/>
    </row>
    <row r="167" spans="1:10">
      <c r="A167" s="22">
        <v>42304</v>
      </c>
      <c r="B167" s="20">
        <v>2015</v>
      </c>
      <c r="C167" s="20" t="s">
        <v>17</v>
      </c>
      <c r="D167" s="18" t="s">
        <v>35</v>
      </c>
      <c r="E167" s="20">
        <v>22.2</v>
      </c>
      <c r="F167" s="18" t="s">
        <v>46</v>
      </c>
      <c r="G167" s="19">
        <v>42273</v>
      </c>
      <c r="H167" s="18" t="s">
        <v>44</v>
      </c>
      <c r="I167" s="20">
        <v>7</v>
      </c>
      <c r="J167" s="18"/>
    </row>
    <row r="168" spans="1:10">
      <c r="A168" s="22">
        <v>42305</v>
      </c>
      <c r="B168" s="20">
        <v>2015</v>
      </c>
      <c r="C168" s="20" t="s">
        <v>17</v>
      </c>
      <c r="D168" s="18" t="s">
        <v>35</v>
      </c>
      <c r="E168" s="20">
        <v>18.600000000000001</v>
      </c>
      <c r="F168" s="18" t="s">
        <v>46</v>
      </c>
      <c r="G168" s="19">
        <v>42273</v>
      </c>
      <c r="H168" s="18" t="s">
        <v>44</v>
      </c>
      <c r="I168" s="20">
        <v>7</v>
      </c>
      <c r="J168" s="18"/>
    </row>
    <row r="169" spans="1:10">
      <c r="A169" s="22">
        <v>42306</v>
      </c>
      <c r="B169" s="20">
        <v>2015</v>
      </c>
      <c r="C169" s="20" t="s">
        <v>17</v>
      </c>
      <c r="D169" s="18" t="s">
        <v>35</v>
      </c>
      <c r="E169" s="20">
        <v>14.4</v>
      </c>
      <c r="F169" s="18" t="s">
        <v>46</v>
      </c>
      <c r="G169" s="19">
        <v>42273</v>
      </c>
      <c r="H169" s="18" t="s">
        <v>44</v>
      </c>
      <c r="I169" s="20">
        <v>7</v>
      </c>
      <c r="J169" s="18"/>
    </row>
    <row r="170" spans="1:10">
      <c r="A170" s="22">
        <v>42307</v>
      </c>
      <c r="B170" s="20">
        <v>2015</v>
      </c>
      <c r="C170" s="20" t="s">
        <v>17</v>
      </c>
      <c r="D170" s="18" t="s">
        <v>35</v>
      </c>
      <c r="E170" s="20">
        <v>6</v>
      </c>
      <c r="F170" s="18" t="s">
        <v>46</v>
      </c>
      <c r="G170" s="19">
        <v>42273</v>
      </c>
      <c r="H170" s="18" t="s">
        <v>44</v>
      </c>
      <c r="I170" s="20">
        <v>7</v>
      </c>
      <c r="J170" s="18"/>
    </row>
    <row r="171" spans="1:10">
      <c r="A171" s="22">
        <v>42307</v>
      </c>
      <c r="B171" s="20">
        <v>2015</v>
      </c>
      <c r="C171" s="20">
        <v>4</v>
      </c>
      <c r="D171" s="18" t="s">
        <v>33</v>
      </c>
      <c r="E171" s="20">
        <v>5.4</v>
      </c>
      <c r="F171" s="18" t="s">
        <v>46</v>
      </c>
      <c r="G171" s="19">
        <v>42265</v>
      </c>
      <c r="H171" s="18" t="s">
        <v>44</v>
      </c>
      <c r="I171" s="20">
        <v>7</v>
      </c>
      <c r="J171" s="18"/>
    </row>
    <row r="172" spans="1:10">
      <c r="A172" s="22">
        <v>42307</v>
      </c>
      <c r="B172" s="20">
        <v>2015</v>
      </c>
      <c r="C172" s="20">
        <v>3</v>
      </c>
      <c r="D172" s="18" t="s">
        <v>10</v>
      </c>
      <c r="E172" s="20">
        <v>3.3</v>
      </c>
      <c r="F172" s="18" t="s">
        <v>32</v>
      </c>
      <c r="G172" s="19">
        <v>42230</v>
      </c>
      <c r="H172" s="18" t="s">
        <v>44</v>
      </c>
      <c r="I172" s="20">
        <v>7</v>
      </c>
      <c r="J172" s="18"/>
    </row>
    <row r="173" spans="1:10">
      <c r="A173" s="22">
        <v>42308</v>
      </c>
      <c r="B173" s="20">
        <v>2015</v>
      </c>
      <c r="C173" s="20" t="s">
        <v>17</v>
      </c>
      <c r="D173" s="18" t="s">
        <v>35</v>
      </c>
      <c r="E173" s="20">
        <v>5.0999999999999996</v>
      </c>
      <c r="F173" s="18" t="s">
        <v>46</v>
      </c>
      <c r="G173" s="19">
        <v>42273</v>
      </c>
      <c r="H173" s="18" t="s">
        <v>44</v>
      </c>
      <c r="I173" s="20">
        <v>7</v>
      </c>
      <c r="J173" s="18"/>
    </row>
    <row r="174" spans="1:10">
      <c r="A174" s="22">
        <v>42308</v>
      </c>
      <c r="B174" s="20">
        <v>2015</v>
      </c>
      <c r="C174" s="20" t="s">
        <v>49</v>
      </c>
      <c r="D174" s="18" t="s">
        <v>31</v>
      </c>
      <c r="E174" s="20">
        <v>7.8</v>
      </c>
      <c r="F174" s="18" t="s">
        <v>32</v>
      </c>
      <c r="G174" s="19">
        <v>42273</v>
      </c>
      <c r="H174" s="18" t="s">
        <v>44</v>
      </c>
      <c r="I174" s="20">
        <v>7</v>
      </c>
      <c r="J174" s="18"/>
    </row>
    <row r="175" spans="1:10">
      <c r="A175" s="22">
        <v>42309</v>
      </c>
      <c r="B175" s="20">
        <v>2015</v>
      </c>
      <c r="C175" s="20">
        <v>1</v>
      </c>
      <c r="D175" s="18" t="s">
        <v>50</v>
      </c>
      <c r="E175" s="20">
        <v>0.3</v>
      </c>
      <c r="F175" s="18" t="s">
        <v>32</v>
      </c>
      <c r="G175" s="19">
        <v>42207</v>
      </c>
      <c r="H175" s="18" t="s">
        <v>43</v>
      </c>
      <c r="I175" s="20">
        <v>7</v>
      </c>
      <c r="J175" s="18"/>
    </row>
    <row r="176" spans="1:10">
      <c r="A176" s="22">
        <v>42309</v>
      </c>
      <c r="B176" s="20">
        <v>2015</v>
      </c>
      <c r="C176" s="20">
        <v>1</v>
      </c>
      <c r="D176" s="18" t="s">
        <v>28</v>
      </c>
      <c r="E176" s="20">
        <v>0.9</v>
      </c>
      <c r="F176" s="18" t="s">
        <v>32</v>
      </c>
      <c r="G176" s="19">
        <v>42207</v>
      </c>
      <c r="H176" s="18" t="s">
        <v>44</v>
      </c>
      <c r="I176" s="20">
        <v>7</v>
      </c>
      <c r="J176" s="18"/>
    </row>
    <row r="177" spans="1:10">
      <c r="A177" s="22">
        <v>42310</v>
      </c>
      <c r="B177" s="20">
        <v>2015</v>
      </c>
      <c r="C177" s="20">
        <v>6</v>
      </c>
      <c r="D177" s="18" t="s">
        <v>33</v>
      </c>
      <c r="E177" s="20">
        <v>8.4</v>
      </c>
      <c r="F177" s="18" t="s">
        <v>46</v>
      </c>
      <c r="G177" s="19">
        <v>42265</v>
      </c>
      <c r="H177" s="18" t="s">
        <v>44</v>
      </c>
      <c r="I177" s="20">
        <v>7</v>
      </c>
      <c r="J177" s="18"/>
    </row>
    <row r="178" spans="1:10">
      <c r="A178" s="22">
        <v>42311</v>
      </c>
      <c r="B178" s="20">
        <v>2015</v>
      </c>
      <c r="C178" s="20">
        <v>6</v>
      </c>
      <c r="D178" s="18" t="s">
        <v>33</v>
      </c>
      <c r="E178" s="20">
        <v>3</v>
      </c>
      <c r="F178" s="18" t="s">
        <v>46</v>
      </c>
      <c r="G178" s="19">
        <v>42265</v>
      </c>
      <c r="H178" s="18" t="s">
        <v>44</v>
      </c>
      <c r="I178" s="20">
        <v>7</v>
      </c>
      <c r="J178" s="18"/>
    </row>
    <row r="179" spans="1:10">
      <c r="A179" s="22">
        <v>42311</v>
      </c>
      <c r="B179" s="20">
        <v>2015</v>
      </c>
      <c r="C179" s="20">
        <v>5</v>
      </c>
      <c r="D179" s="18" t="s">
        <v>35</v>
      </c>
      <c r="E179" s="20">
        <v>4.8</v>
      </c>
      <c r="F179" s="18" t="s">
        <v>46</v>
      </c>
      <c r="G179" s="19">
        <v>42273</v>
      </c>
      <c r="H179" s="18" t="s">
        <v>44</v>
      </c>
      <c r="I179" s="20">
        <v>7</v>
      </c>
      <c r="J179" s="18"/>
    </row>
    <row r="180" spans="1:10">
      <c r="A180" s="22">
        <v>42312</v>
      </c>
      <c r="B180" s="20">
        <v>2015</v>
      </c>
      <c r="C180" s="20">
        <v>5</v>
      </c>
      <c r="D180" s="18" t="s">
        <v>35</v>
      </c>
      <c r="E180" s="20">
        <v>8.1</v>
      </c>
      <c r="F180" s="18" t="s">
        <v>46</v>
      </c>
      <c r="G180" s="19">
        <v>42273</v>
      </c>
      <c r="H180" s="18" t="s">
        <v>44</v>
      </c>
      <c r="I180" s="20">
        <v>7</v>
      </c>
      <c r="J180" s="18"/>
    </row>
    <row r="181" spans="1:10">
      <c r="A181" s="22">
        <v>42312</v>
      </c>
      <c r="B181" s="20">
        <v>2015</v>
      </c>
      <c r="C181" s="20">
        <v>5</v>
      </c>
      <c r="D181" s="18" t="s">
        <v>28</v>
      </c>
      <c r="E181" s="20">
        <v>2.1</v>
      </c>
      <c r="F181" s="18" t="s">
        <v>32</v>
      </c>
      <c r="G181" s="19">
        <v>42273</v>
      </c>
      <c r="H181" s="18" t="s">
        <v>44</v>
      </c>
      <c r="I181" s="20">
        <v>7</v>
      </c>
      <c r="J181" s="18"/>
    </row>
    <row r="182" spans="1:10">
      <c r="A182" s="22">
        <v>42313</v>
      </c>
      <c r="B182" s="20">
        <v>2015</v>
      </c>
      <c r="C182" s="20" t="s">
        <v>51</v>
      </c>
      <c r="D182" s="18" t="s">
        <v>52</v>
      </c>
      <c r="E182" s="20">
        <v>12.6</v>
      </c>
      <c r="F182" s="18" t="s">
        <v>32</v>
      </c>
      <c r="G182" s="19">
        <v>42265</v>
      </c>
      <c r="H182" s="18" t="s">
        <v>44</v>
      </c>
      <c r="I182" s="20">
        <v>7</v>
      </c>
      <c r="J182" s="18"/>
    </row>
    <row r="183" spans="1:10">
      <c r="A183" s="22">
        <v>42314</v>
      </c>
      <c r="B183" s="20">
        <v>2015</v>
      </c>
      <c r="C183" s="20">
        <v>3</v>
      </c>
      <c r="D183" s="18" t="s">
        <v>10</v>
      </c>
      <c r="E183" s="20">
        <v>11.4</v>
      </c>
      <c r="F183" s="18" t="s">
        <v>32</v>
      </c>
      <c r="G183" s="19">
        <v>42230</v>
      </c>
      <c r="H183" s="18" t="s">
        <v>44</v>
      </c>
      <c r="I183" s="20">
        <v>7</v>
      </c>
      <c r="J183" s="18"/>
    </row>
    <row r="184" spans="1:10">
      <c r="A184" s="22">
        <v>42314</v>
      </c>
      <c r="B184" s="20">
        <v>2015</v>
      </c>
      <c r="C184" s="20" t="s">
        <v>53</v>
      </c>
      <c r="D184" s="18" t="s">
        <v>31</v>
      </c>
      <c r="E184" s="20">
        <v>16.2</v>
      </c>
      <c r="F184" s="18" t="s">
        <v>32</v>
      </c>
      <c r="G184" s="19">
        <v>42273</v>
      </c>
      <c r="H184" s="18" t="s">
        <v>44</v>
      </c>
      <c r="I184" s="20">
        <v>7</v>
      </c>
      <c r="J184" s="18"/>
    </row>
    <row r="185" spans="1:10">
      <c r="A185" s="19">
        <v>41879</v>
      </c>
      <c r="B185" s="20">
        <v>2014</v>
      </c>
      <c r="C185" s="20">
        <v>1</v>
      </c>
      <c r="D185" s="20" t="s">
        <v>42</v>
      </c>
      <c r="E185" s="20">
        <v>9</v>
      </c>
      <c r="F185" s="20" t="s">
        <v>32</v>
      </c>
      <c r="G185" s="19">
        <v>41851</v>
      </c>
      <c r="H185" s="20" t="s">
        <v>54</v>
      </c>
      <c r="I185" s="20" t="s">
        <v>55</v>
      </c>
    </row>
    <row r="186" spans="1:10">
      <c r="A186" s="19">
        <v>41884</v>
      </c>
      <c r="B186" s="20">
        <v>2014</v>
      </c>
      <c r="C186" s="20" t="s">
        <v>13</v>
      </c>
      <c r="D186" s="20" t="s">
        <v>10</v>
      </c>
      <c r="E186" s="20">
        <v>2.4</v>
      </c>
      <c r="F186" s="20" t="s">
        <v>32</v>
      </c>
      <c r="G186" s="19">
        <v>41851</v>
      </c>
      <c r="H186" s="20" t="s">
        <v>12</v>
      </c>
      <c r="I186" s="20" t="s">
        <v>55</v>
      </c>
    </row>
    <row r="187" spans="1:10">
      <c r="A187" s="19">
        <v>41885</v>
      </c>
      <c r="B187" s="20">
        <v>2014</v>
      </c>
      <c r="C187" s="20" t="s">
        <v>13</v>
      </c>
      <c r="D187" s="20" t="s">
        <v>10</v>
      </c>
      <c r="E187" s="20">
        <v>12</v>
      </c>
      <c r="F187" s="20" t="s">
        <v>32</v>
      </c>
      <c r="G187" s="19">
        <v>41851</v>
      </c>
      <c r="H187" s="20" t="s">
        <v>12</v>
      </c>
      <c r="I187" s="20" t="s">
        <v>55</v>
      </c>
    </row>
    <row r="188" spans="1:10">
      <c r="A188" s="19">
        <v>41886</v>
      </c>
      <c r="B188" s="20">
        <v>2014</v>
      </c>
      <c r="C188" s="20" t="s">
        <v>13</v>
      </c>
      <c r="D188" s="20" t="s">
        <v>10</v>
      </c>
      <c r="E188" s="20">
        <v>10.5</v>
      </c>
      <c r="F188" s="20" t="s">
        <v>32</v>
      </c>
      <c r="G188" s="19">
        <v>41851</v>
      </c>
      <c r="H188" s="20" t="s">
        <v>12</v>
      </c>
      <c r="I188" s="20" t="s">
        <v>55</v>
      </c>
    </row>
    <row r="189" spans="1:10">
      <c r="A189" s="19">
        <v>41887</v>
      </c>
      <c r="B189" s="20">
        <v>2014</v>
      </c>
      <c r="C189" s="20" t="s">
        <v>13</v>
      </c>
      <c r="D189" s="20" t="s">
        <v>10</v>
      </c>
      <c r="E189" s="20">
        <v>3</v>
      </c>
      <c r="F189" s="20" t="s">
        <v>32</v>
      </c>
      <c r="G189" s="19">
        <v>41851</v>
      </c>
      <c r="H189" s="20" t="s">
        <v>12</v>
      </c>
      <c r="I189" s="20" t="s">
        <v>55</v>
      </c>
    </row>
    <row r="190" spans="1:10">
      <c r="A190" s="19">
        <v>41888</v>
      </c>
      <c r="B190" s="20">
        <v>2014</v>
      </c>
      <c r="C190" s="20">
        <v>3</v>
      </c>
      <c r="D190" s="20" t="s">
        <v>10</v>
      </c>
      <c r="E190" s="20">
        <v>4.8</v>
      </c>
      <c r="F190" s="20" t="s">
        <v>32</v>
      </c>
      <c r="G190" s="19">
        <v>41851</v>
      </c>
      <c r="H190" s="20" t="s">
        <v>54</v>
      </c>
      <c r="I190" s="20" t="s">
        <v>55</v>
      </c>
    </row>
    <row r="191" spans="1:10">
      <c r="A191" s="19">
        <v>41890</v>
      </c>
      <c r="B191" s="20">
        <v>2014</v>
      </c>
      <c r="C191" s="20">
        <v>3</v>
      </c>
      <c r="D191" s="20" t="s">
        <v>10</v>
      </c>
      <c r="E191" s="20">
        <v>18.600000000000001</v>
      </c>
      <c r="F191" s="20" t="s">
        <v>32</v>
      </c>
      <c r="G191" s="19">
        <v>41851</v>
      </c>
      <c r="H191" s="20" t="s">
        <v>54</v>
      </c>
      <c r="I191" s="20" t="s">
        <v>55</v>
      </c>
    </row>
    <row r="192" spans="1:10">
      <c r="A192" s="19">
        <v>41891</v>
      </c>
      <c r="B192" s="20">
        <v>2014</v>
      </c>
      <c r="C192" s="20">
        <v>3</v>
      </c>
      <c r="D192" s="20" t="s">
        <v>10</v>
      </c>
      <c r="E192" s="20">
        <v>20.399999999999999</v>
      </c>
      <c r="F192" s="20" t="s">
        <v>32</v>
      </c>
      <c r="G192" s="19">
        <v>41851</v>
      </c>
      <c r="H192" s="20" t="s">
        <v>54</v>
      </c>
      <c r="I192" s="20" t="s">
        <v>55</v>
      </c>
    </row>
    <row r="193" spans="1:10">
      <c r="A193" s="19">
        <v>41892</v>
      </c>
      <c r="B193" s="20">
        <v>2014</v>
      </c>
      <c r="C193" s="20">
        <v>3</v>
      </c>
      <c r="D193" s="20" t="s">
        <v>10</v>
      </c>
      <c r="E193" s="20">
        <v>17.399999999999999</v>
      </c>
      <c r="F193" s="20" t="s">
        <v>32</v>
      </c>
      <c r="G193" s="19">
        <v>41851</v>
      </c>
      <c r="H193" s="20" t="s">
        <v>54</v>
      </c>
      <c r="I193" s="20" t="s">
        <v>55</v>
      </c>
    </row>
    <row r="194" spans="1:10">
      <c r="A194" s="19">
        <v>41893</v>
      </c>
      <c r="B194" s="20">
        <v>2014</v>
      </c>
      <c r="C194" s="20">
        <v>3</v>
      </c>
      <c r="D194" s="20" t="s">
        <v>10</v>
      </c>
      <c r="E194" s="20">
        <v>19.2</v>
      </c>
      <c r="F194" s="20" t="s">
        <v>32</v>
      </c>
      <c r="G194" s="19">
        <v>41851</v>
      </c>
      <c r="H194" s="20" t="s">
        <v>54</v>
      </c>
      <c r="I194" s="20" t="s">
        <v>55</v>
      </c>
    </row>
    <row r="195" spans="1:10">
      <c r="A195" s="19">
        <v>41894</v>
      </c>
      <c r="B195" s="20">
        <v>2014</v>
      </c>
      <c r="C195" s="20">
        <v>3</v>
      </c>
      <c r="D195" s="20" t="s">
        <v>10</v>
      </c>
      <c r="E195" s="20">
        <v>19.2</v>
      </c>
      <c r="F195" s="20" t="s">
        <v>32</v>
      </c>
      <c r="G195" s="19">
        <v>41851</v>
      </c>
      <c r="H195" s="20" t="s">
        <v>54</v>
      </c>
      <c r="I195" s="20" t="s">
        <v>55</v>
      </c>
    </row>
    <row r="196" spans="1:10">
      <c r="A196" s="19">
        <v>41895</v>
      </c>
      <c r="B196" s="20">
        <v>2014</v>
      </c>
      <c r="C196" s="20">
        <v>3</v>
      </c>
      <c r="D196" s="20" t="s">
        <v>10</v>
      </c>
      <c r="E196" s="20">
        <v>4.8</v>
      </c>
      <c r="F196" s="20" t="s">
        <v>32</v>
      </c>
      <c r="G196" s="19">
        <v>41851</v>
      </c>
      <c r="H196" s="20" t="s">
        <v>54</v>
      </c>
      <c r="I196" s="20" t="s">
        <v>55</v>
      </c>
    </row>
    <row r="197" spans="1:10">
      <c r="A197" s="19">
        <v>41897</v>
      </c>
      <c r="B197" s="20">
        <v>2014</v>
      </c>
      <c r="C197" s="20">
        <v>3</v>
      </c>
      <c r="D197" s="20" t="s">
        <v>10</v>
      </c>
      <c r="E197" s="20">
        <v>21.9</v>
      </c>
      <c r="F197" s="20" t="s">
        <v>32</v>
      </c>
      <c r="G197" s="19">
        <v>41851</v>
      </c>
      <c r="H197" s="20" t="s">
        <v>54</v>
      </c>
      <c r="I197" s="20" t="s">
        <v>55</v>
      </c>
    </row>
    <row r="198" spans="1:10">
      <c r="A198" s="19">
        <v>41898</v>
      </c>
      <c r="B198" s="20">
        <v>2014</v>
      </c>
      <c r="C198" s="20">
        <v>3</v>
      </c>
      <c r="D198" s="20" t="s">
        <v>10</v>
      </c>
      <c r="E198" s="20">
        <v>24</v>
      </c>
      <c r="F198" s="20" t="s">
        <v>32</v>
      </c>
      <c r="G198" s="19">
        <v>41851</v>
      </c>
      <c r="H198" s="20" t="s">
        <v>54</v>
      </c>
      <c r="I198" s="20" t="s">
        <v>55</v>
      </c>
    </row>
    <row r="199" spans="1:10">
      <c r="A199" s="19">
        <v>41899</v>
      </c>
      <c r="B199" s="20">
        <v>2014</v>
      </c>
      <c r="C199" s="20">
        <v>3</v>
      </c>
      <c r="D199" s="20" t="s">
        <v>10</v>
      </c>
      <c r="E199" s="20">
        <v>18</v>
      </c>
      <c r="F199" s="20" t="s">
        <v>32</v>
      </c>
      <c r="G199" s="19">
        <v>41851</v>
      </c>
      <c r="H199" s="20" t="s">
        <v>54</v>
      </c>
      <c r="I199" s="20" t="s">
        <v>55</v>
      </c>
    </row>
    <row r="200" spans="1:10">
      <c r="A200" s="19">
        <v>41900</v>
      </c>
      <c r="B200" s="20">
        <v>2014</v>
      </c>
      <c r="C200" s="20">
        <v>3</v>
      </c>
      <c r="D200" s="20" t="s">
        <v>10</v>
      </c>
      <c r="E200" s="20">
        <v>2.4</v>
      </c>
      <c r="F200" s="20" t="s">
        <v>32</v>
      </c>
      <c r="G200" s="19">
        <v>41851</v>
      </c>
      <c r="H200" s="20" t="s">
        <v>54</v>
      </c>
      <c r="I200" s="20" t="s">
        <v>55</v>
      </c>
    </row>
    <row r="201" spans="1:10">
      <c r="A201" s="19">
        <v>41900</v>
      </c>
      <c r="B201" s="20">
        <v>2014</v>
      </c>
      <c r="C201" s="20" t="s">
        <v>13</v>
      </c>
      <c r="D201" s="20" t="s">
        <v>10</v>
      </c>
      <c r="E201" s="20">
        <v>9</v>
      </c>
      <c r="F201" s="20" t="s">
        <v>32</v>
      </c>
      <c r="G201" s="19">
        <v>41851</v>
      </c>
      <c r="H201" s="20" t="s">
        <v>54</v>
      </c>
      <c r="I201" s="20" t="s">
        <v>55</v>
      </c>
    </row>
    <row r="202" spans="1:10">
      <c r="A202" s="19">
        <v>41901</v>
      </c>
      <c r="B202" s="20">
        <v>2014</v>
      </c>
      <c r="C202" s="20" t="s">
        <v>13</v>
      </c>
      <c r="D202" s="20" t="s">
        <v>10</v>
      </c>
      <c r="E202" s="20">
        <v>16.2</v>
      </c>
      <c r="F202" s="20" t="s">
        <v>32</v>
      </c>
      <c r="G202" s="19">
        <v>41851</v>
      </c>
      <c r="H202" s="20" t="s">
        <v>54</v>
      </c>
      <c r="I202" s="20" t="s">
        <v>55</v>
      </c>
    </row>
    <row r="203" spans="1:10">
      <c r="A203" s="19">
        <v>41901</v>
      </c>
      <c r="B203" s="20">
        <v>2014</v>
      </c>
      <c r="C203" s="20">
        <v>1</v>
      </c>
      <c r="D203" s="20" t="s">
        <v>15</v>
      </c>
      <c r="E203" s="20">
        <v>0.6</v>
      </c>
      <c r="F203" s="20" t="s">
        <v>32</v>
      </c>
      <c r="G203" s="19">
        <v>41851</v>
      </c>
      <c r="H203" s="20" t="s">
        <v>54</v>
      </c>
      <c r="I203" s="20" t="s">
        <v>55</v>
      </c>
    </row>
    <row r="204" spans="1:10">
      <c r="A204" s="19">
        <v>41902</v>
      </c>
      <c r="B204" s="20">
        <v>2014</v>
      </c>
      <c r="C204" s="20" t="s">
        <v>56</v>
      </c>
      <c r="D204" s="20" t="s">
        <v>15</v>
      </c>
      <c r="E204" s="20">
        <v>4.8</v>
      </c>
      <c r="F204" s="20" t="s">
        <v>46</v>
      </c>
      <c r="G204" s="19">
        <v>41902</v>
      </c>
      <c r="H204" s="20" t="s">
        <v>57</v>
      </c>
      <c r="I204" s="20" t="s">
        <v>55</v>
      </c>
      <c r="J204" s="20" t="s">
        <v>58</v>
      </c>
    </row>
    <row r="205" spans="1:10">
      <c r="A205" s="19">
        <v>41904</v>
      </c>
      <c r="B205" s="20">
        <v>2014</v>
      </c>
      <c r="C205" s="20" t="s">
        <v>16</v>
      </c>
      <c r="D205" s="20" t="s">
        <v>15</v>
      </c>
      <c r="E205" s="20">
        <v>17.399999999999999</v>
      </c>
      <c r="F205" s="20" t="s">
        <v>46</v>
      </c>
      <c r="G205" s="19">
        <v>41894</v>
      </c>
      <c r="H205" s="20" t="s">
        <v>57</v>
      </c>
      <c r="I205" s="20" t="s">
        <v>55</v>
      </c>
    </row>
    <row r="206" spans="1:10">
      <c r="A206" s="19">
        <v>41905</v>
      </c>
      <c r="B206" s="20">
        <v>2014</v>
      </c>
      <c r="C206" s="20" t="s">
        <v>16</v>
      </c>
      <c r="D206" s="20" t="s">
        <v>15</v>
      </c>
      <c r="E206" s="20">
        <v>15.6</v>
      </c>
      <c r="F206" s="20" t="s">
        <v>46</v>
      </c>
      <c r="G206" s="19">
        <v>41894</v>
      </c>
      <c r="H206" s="20" t="s">
        <v>57</v>
      </c>
      <c r="I206" s="20" t="s">
        <v>55</v>
      </c>
    </row>
    <row r="207" spans="1:10">
      <c r="A207" s="19">
        <v>41906</v>
      </c>
      <c r="B207" s="20">
        <v>2014</v>
      </c>
      <c r="C207" s="20" t="s">
        <v>16</v>
      </c>
      <c r="D207" s="20" t="s">
        <v>15</v>
      </c>
      <c r="E207" s="20">
        <v>17.399999999999999</v>
      </c>
      <c r="F207" s="20" t="s">
        <v>46</v>
      </c>
      <c r="G207" s="19">
        <v>41894</v>
      </c>
      <c r="H207" s="20" t="s">
        <v>57</v>
      </c>
      <c r="I207" s="20" t="s">
        <v>55</v>
      </c>
    </row>
    <row r="208" spans="1:10">
      <c r="A208" s="19">
        <v>41907</v>
      </c>
      <c r="B208" s="20">
        <v>2014</v>
      </c>
      <c r="C208" s="20" t="s">
        <v>16</v>
      </c>
      <c r="D208" s="20" t="s">
        <v>15</v>
      </c>
      <c r="E208" s="20">
        <v>6</v>
      </c>
      <c r="F208" s="20" t="s">
        <v>46</v>
      </c>
      <c r="G208" s="19">
        <v>41894</v>
      </c>
      <c r="H208" s="20" t="s">
        <v>57</v>
      </c>
      <c r="I208" s="20" t="s">
        <v>55</v>
      </c>
    </row>
    <row r="209" spans="1:9">
      <c r="A209" s="19">
        <v>41908</v>
      </c>
      <c r="B209" s="20">
        <v>2014</v>
      </c>
      <c r="C209" s="20" t="s">
        <v>16</v>
      </c>
      <c r="D209" s="20" t="s">
        <v>15</v>
      </c>
      <c r="E209" s="20">
        <v>5.0999999999999996</v>
      </c>
      <c r="F209" s="20" t="s">
        <v>46</v>
      </c>
      <c r="G209" s="19">
        <v>41894</v>
      </c>
      <c r="H209" s="20" t="s">
        <v>57</v>
      </c>
      <c r="I209" s="20" t="s">
        <v>55</v>
      </c>
    </row>
    <row r="210" spans="1:9">
      <c r="A210" s="19">
        <v>41909</v>
      </c>
      <c r="B210" s="20">
        <v>2014</v>
      </c>
      <c r="C210" s="20">
        <v>4</v>
      </c>
      <c r="D210" s="20" t="s">
        <v>33</v>
      </c>
      <c r="E210" s="20">
        <v>7.2</v>
      </c>
      <c r="F210" s="20" t="s">
        <v>46</v>
      </c>
      <c r="G210" s="19">
        <v>41894</v>
      </c>
      <c r="H210" s="20" t="s">
        <v>57</v>
      </c>
      <c r="I210" s="20" t="s">
        <v>55</v>
      </c>
    </row>
    <row r="211" spans="1:9">
      <c r="A211" s="19">
        <v>41911</v>
      </c>
      <c r="B211" s="20">
        <v>2014</v>
      </c>
      <c r="C211" s="20">
        <v>4</v>
      </c>
      <c r="D211" s="20" t="s">
        <v>33</v>
      </c>
      <c r="E211" s="20">
        <v>8.4</v>
      </c>
      <c r="F211" s="20" t="s">
        <v>46</v>
      </c>
      <c r="G211" s="19">
        <v>41894</v>
      </c>
      <c r="H211" s="20" t="s">
        <v>57</v>
      </c>
      <c r="I211" s="20" t="s">
        <v>55</v>
      </c>
    </row>
    <row r="212" spans="1:9">
      <c r="A212" s="19">
        <v>41911</v>
      </c>
      <c r="B212" s="20">
        <v>2014</v>
      </c>
      <c r="C212" s="20">
        <v>5</v>
      </c>
      <c r="D212" s="20" t="s">
        <v>15</v>
      </c>
      <c r="E212" s="20">
        <v>9.6</v>
      </c>
      <c r="F212" s="20" t="s">
        <v>46</v>
      </c>
      <c r="G212" s="19">
        <v>41902</v>
      </c>
      <c r="H212" s="20" t="s">
        <v>57</v>
      </c>
      <c r="I212" s="20" t="s">
        <v>55</v>
      </c>
    </row>
    <row r="213" spans="1:9">
      <c r="A213" s="19">
        <v>41911</v>
      </c>
      <c r="B213" s="20">
        <v>2014</v>
      </c>
      <c r="C213" s="20">
        <v>5</v>
      </c>
      <c r="D213" s="20" t="s">
        <v>24</v>
      </c>
      <c r="E213" s="20">
        <v>0.3</v>
      </c>
      <c r="F213" s="20" t="s">
        <v>46</v>
      </c>
      <c r="G213" s="19">
        <v>41902</v>
      </c>
      <c r="H213" s="20" t="s">
        <v>57</v>
      </c>
      <c r="I213" s="20" t="s">
        <v>55</v>
      </c>
    </row>
    <row r="214" spans="1:9">
      <c r="A214" s="19">
        <v>41912</v>
      </c>
      <c r="B214" s="20">
        <v>2014</v>
      </c>
      <c r="C214" s="20">
        <v>5</v>
      </c>
      <c r="D214" s="20" t="s">
        <v>24</v>
      </c>
      <c r="E214" s="20">
        <v>14.1</v>
      </c>
      <c r="F214" s="20" t="s">
        <v>46</v>
      </c>
      <c r="G214" s="19">
        <v>41902</v>
      </c>
      <c r="H214" s="20" t="s">
        <v>57</v>
      </c>
      <c r="I214" s="20" t="s">
        <v>55</v>
      </c>
    </row>
    <row r="215" spans="1:9">
      <c r="A215" s="19">
        <v>41913</v>
      </c>
      <c r="B215" s="20">
        <v>2014</v>
      </c>
      <c r="C215" s="20">
        <v>5</v>
      </c>
      <c r="D215" s="20" t="s">
        <v>24</v>
      </c>
      <c r="E215" s="20">
        <v>14.1</v>
      </c>
      <c r="F215" s="20" t="s">
        <v>46</v>
      </c>
      <c r="G215" s="19">
        <v>41902</v>
      </c>
      <c r="H215" s="20" t="s">
        <v>57</v>
      </c>
      <c r="I215" s="20" t="s">
        <v>55</v>
      </c>
    </row>
    <row r="216" spans="1:9">
      <c r="A216" s="19">
        <v>41914</v>
      </c>
      <c r="B216" s="20">
        <v>2014</v>
      </c>
      <c r="C216" s="20">
        <v>5</v>
      </c>
      <c r="D216" s="20" t="s">
        <v>24</v>
      </c>
      <c r="E216" s="20">
        <v>11.7</v>
      </c>
      <c r="F216" s="20" t="s">
        <v>46</v>
      </c>
      <c r="G216" s="19">
        <v>41902</v>
      </c>
      <c r="H216" s="20" t="s">
        <v>57</v>
      </c>
      <c r="I216" s="20" t="s">
        <v>55</v>
      </c>
    </row>
    <row r="217" spans="1:9">
      <c r="A217" s="19">
        <v>41914</v>
      </c>
      <c r="B217" s="20">
        <v>2014</v>
      </c>
      <c r="C217" s="20" t="s">
        <v>17</v>
      </c>
      <c r="D217" s="20" t="s">
        <v>24</v>
      </c>
      <c r="E217" s="20">
        <v>3.3</v>
      </c>
      <c r="F217" s="20" t="s">
        <v>46</v>
      </c>
      <c r="G217" s="19">
        <v>41902</v>
      </c>
      <c r="H217" s="20" t="s">
        <v>57</v>
      </c>
      <c r="I217" s="20" t="s">
        <v>55</v>
      </c>
    </row>
    <row r="218" spans="1:9">
      <c r="A218" s="19">
        <v>41915</v>
      </c>
      <c r="B218" s="20">
        <v>2014</v>
      </c>
      <c r="C218" s="20" t="s">
        <v>17</v>
      </c>
      <c r="D218" s="20" t="s">
        <v>24</v>
      </c>
      <c r="E218" s="20">
        <v>15.6</v>
      </c>
      <c r="F218" s="20" t="s">
        <v>46</v>
      </c>
      <c r="G218" s="19">
        <v>41902</v>
      </c>
      <c r="H218" s="20" t="s">
        <v>57</v>
      </c>
      <c r="I218" s="20" t="s">
        <v>55</v>
      </c>
    </row>
    <row r="219" spans="1:9">
      <c r="A219" s="19">
        <v>41916</v>
      </c>
      <c r="B219" s="20">
        <v>2014</v>
      </c>
      <c r="C219" s="20" t="s">
        <v>17</v>
      </c>
      <c r="D219" s="20" t="s">
        <v>24</v>
      </c>
      <c r="E219" s="20">
        <v>1.8</v>
      </c>
      <c r="F219" s="20" t="s">
        <v>46</v>
      </c>
      <c r="G219" s="19">
        <v>41902</v>
      </c>
      <c r="H219" s="20" t="s">
        <v>57</v>
      </c>
      <c r="I219" s="20" t="s">
        <v>55</v>
      </c>
    </row>
    <row r="220" spans="1:9">
      <c r="A220" s="19">
        <v>41918</v>
      </c>
      <c r="B220" s="20">
        <v>2014</v>
      </c>
      <c r="C220" s="20" t="s">
        <v>17</v>
      </c>
      <c r="D220" s="20" t="s">
        <v>24</v>
      </c>
      <c r="E220" s="20">
        <v>11.4</v>
      </c>
      <c r="F220" s="20" t="s">
        <v>46</v>
      </c>
      <c r="G220" s="19">
        <v>41902</v>
      </c>
      <c r="H220" s="20" t="s">
        <v>57</v>
      </c>
      <c r="I220" s="20" t="s">
        <v>55</v>
      </c>
    </row>
    <row r="221" spans="1:9">
      <c r="A221" s="19">
        <v>41919</v>
      </c>
      <c r="B221" s="20">
        <v>2014</v>
      </c>
      <c r="C221" s="20" t="s">
        <v>17</v>
      </c>
      <c r="D221" s="20" t="s">
        <v>24</v>
      </c>
      <c r="E221" s="20">
        <v>4.8</v>
      </c>
      <c r="F221" s="20" t="s">
        <v>46</v>
      </c>
      <c r="G221" s="19">
        <v>41902</v>
      </c>
      <c r="H221" s="20" t="s">
        <v>57</v>
      </c>
      <c r="I221" s="20" t="s">
        <v>55</v>
      </c>
    </row>
    <row r="222" spans="1:9">
      <c r="A222" s="19">
        <v>41920</v>
      </c>
      <c r="B222" s="20">
        <v>2014</v>
      </c>
      <c r="C222" s="20" t="s">
        <v>17</v>
      </c>
      <c r="D222" s="20" t="s">
        <v>24</v>
      </c>
      <c r="E222" s="20">
        <v>4.8</v>
      </c>
      <c r="F222" s="20" t="s">
        <v>46</v>
      </c>
      <c r="G222" s="19">
        <v>41902</v>
      </c>
      <c r="H222" s="20" t="s">
        <v>57</v>
      </c>
      <c r="I222" s="20" t="s">
        <v>55</v>
      </c>
    </row>
    <row r="223" spans="1:9">
      <c r="A223" s="19">
        <v>41920</v>
      </c>
      <c r="B223" s="20">
        <v>2014</v>
      </c>
      <c r="C223" s="20">
        <v>4</v>
      </c>
      <c r="D223" s="20" t="s">
        <v>33</v>
      </c>
      <c r="E223" s="20">
        <v>2.4</v>
      </c>
      <c r="F223" s="20" t="s">
        <v>46</v>
      </c>
      <c r="G223" s="19">
        <v>41894</v>
      </c>
      <c r="H223" s="20" t="s">
        <v>57</v>
      </c>
      <c r="I223" s="20" t="s">
        <v>55</v>
      </c>
    </row>
    <row r="224" spans="1:9">
      <c r="A224" s="19">
        <v>41921</v>
      </c>
      <c r="B224" s="20">
        <v>2014</v>
      </c>
      <c r="C224" s="20">
        <v>4</v>
      </c>
      <c r="D224" s="20" t="s">
        <v>33</v>
      </c>
      <c r="E224" s="20">
        <v>4.8</v>
      </c>
      <c r="F224" s="20" t="s">
        <v>46</v>
      </c>
      <c r="G224" s="19">
        <v>41894</v>
      </c>
      <c r="H224" s="20" t="s">
        <v>57</v>
      </c>
      <c r="I224" s="20" t="s">
        <v>55</v>
      </c>
    </row>
    <row r="225" spans="1:9">
      <c r="A225" s="19">
        <v>41921</v>
      </c>
      <c r="B225" s="20">
        <v>2014</v>
      </c>
      <c r="C225" s="20" t="s">
        <v>17</v>
      </c>
      <c r="D225" s="20" t="s">
        <v>24</v>
      </c>
      <c r="E225" s="20">
        <v>0.9</v>
      </c>
      <c r="F225" s="20" t="s">
        <v>46</v>
      </c>
      <c r="G225" s="19">
        <v>41902</v>
      </c>
      <c r="H225" s="20" t="s">
        <v>57</v>
      </c>
      <c r="I225" s="20" t="s">
        <v>55</v>
      </c>
    </row>
    <row r="226" spans="1:9">
      <c r="A226" s="19">
        <v>41923</v>
      </c>
      <c r="B226" s="20">
        <v>2014</v>
      </c>
      <c r="C226" s="20">
        <v>1</v>
      </c>
      <c r="D226" s="20" t="s">
        <v>59</v>
      </c>
      <c r="E226" s="20">
        <v>1.2</v>
      </c>
      <c r="F226" s="20" t="s">
        <v>32</v>
      </c>
      <c r="G226" s="19">
        <v>41851</v>
      </c>
      <c r="H226" s="20" t="s">
        <v>54</v>
      </c>
      <c r="I226" s="20" t="s">
        <v>55</v>
      </c>
    </row>
    <row r="227" spans="1:9">
      <c r="A227" s="19">
        <v>41923</v>
      </c>
      <c r="B227" s="20">
        <v>2014</v>
      </c>
      <c r="C227" s="20">
        <v>5</v>
      </c>
      <c r="D227" s="20" t="s">
        <v>24</v>
      </c>
      <c r="E227" s="20">
        <v>2.4</v>
      </c>
      <c r="F227" s="20" t="s">
        <v>46</v>
      </c>
      <c r="G227" s="19">
        <v>41902</v>
      </c>
      <c r="H227" s="20" t="s">
        <v>57</v>
      </c>
      <c r="I227" s="20" t="s">
        <v>55</v>
      </c>
    </row>
    <row r="228" spans="1:9">
      <c r="A228" s="19">
        <v>41925</v>
      </c>
      <c r="B228" s="20">
        <v>2014</v>
      </c>
      <c r="C228" s="20">
        <v>5</v>
      </c>
      <c r="D228" s="20" t="s">
        <v>24</v>
      </c>
      <c r="E228" s="20">
        <v>14.1</v>
      </c>
      <c r="F228" s="20" t="s">
        <v>46</v>
      </c>
      <c r="G228" s="19">
        <v>41902</v>
      </c>
      <c r="H228" s="20" t="s">
        <v>57</v>
      </c>
      <c r="I228" s="20" t="s">
        <v>55</v>
      </c>
    </row>
    <row r="229" spans="1:9">
      <c r="A229" s="19">
        <v>41926</v>
      </c>
      <c r="B229" s="20">
        <v>2014</v>
      </c>
      <c r="C229" s="20">
        <v>5</v>
      </c>
      <c r="D229" s="20" t="s">
        <v>24</v>
      </c>
      <c r="E229" s="20">
        <v>18.600000000000001</v>
      </c>
      <c r="F229" s="20" t="s">
        <v>46</v>
      </c>
      <c r="G229" s="19">
        <v>41902</v>
      </c>
      <c r="H229" s="20" t="s">
        <v>57</v>
      </c>
      <c r="I229" s="20" t="s">
        <v>55</v>
      </c>
    </row>
    <row r="230" spans="1:9">
      <c r="A230" s="19">
        <v>41927</v>
      </c>
      <c r="B230" s="20">
        <v>2014</v>
      </c>
      <c r="C230" s="20">
        <v>5</v>
      </c>
      <c r="D230" s="20" t="s">
        <v>24</v>
      </c>
      <c r="E230" s="20">
        <v>21.6</v>
      </c>
      <c r="F230" s="20" t="s">
        <v>46</v>
      </c>
      <c r="G230" s="19">
        <v>41902</v>
      </c>
      <c r="H230" s="20" t="s">
        <v>57</v>
      </c>
      <c r="I230" s="20" t="s">
        <v>55</v>
      </c>
    </row>
    <row r="231" spans="1:9">
      <c r="A231" s="19">
        <v>41928</v>
      </c>
      <c r="B231" s="20">
        <v>2014</v>
      </c>
      <c r="C231" s="20">
        <v>5</v>
      </c>
      <c r="D231" s="20" t="s">
        <v>24</v>
      </c>
      <c r="E231" s="20">
        <v>6.6</v>
      </c>
      <c r="F231" s="20" t="s">
        <v>46</v>
      </c>
      <c r="G231" s="19">
        <v>41902</v>
      </c>
      <c r="H231" s="20" t="s">
        <v>57</v>
      </c>
      <c r="I231" s="20" t="s">
        <v>55</v>
      </c>
    </row>
    <row r="232" spans="1:9">
      <c r="A232" s="19">
        <v>41928</v>
      </c>
      <c r="B232" s="20">
        <v>2014</v>
      </c>
      <c r="C232" s="20" t="s">
        <v>17</v>
      </c>
      <c r="D232" s="20" t="s">
        <v>24</v>
      </c>
      <c r="E232" s="20">
        <v>6</v>
      </c>
      <c r="F232" s="20" t="s">
        <v>46</v>
      </c>
      <c r="G232" s="19">
        <v>41902</v>
      </c>
      <c r="H232" s="20" t="s">
        <v>57</v>
      </c>
      <c r="I232" s="20" t="s">
        <v>55</v>
      </c>
    </row>
    <row r="233" spans="1:9">
      <c r="A233" s="19">
        <v>41929</v>
      </c>
      <c r="B233" s="20">
        <v>2014</v>
      </c>
      <c r="C233" s="20" t="s">
        <v>17</v>
      </c>
      <c r="D233" s="20" t="s">
        <v>24</v>
      </c>
      <c r="E233" s="20">
        <v>16.2</v>
      </c>
      <c r="F233" s="20" t="s">
        <v>46</v>
      </c>
      <c r="G233" s="19">
        <v>41902</v>
      </c>
      <c r="H233" s="20" t="s">
        <v>57</v>
      </c>
      <c r="I233" s="20" t="s">
        <v>55</v>
      </c>
    </row>
    <row r="234" spans="1:9">
      <c r="A234" s="19">
        <v>41930</v>
      </c>
      <c r="B234" s="20">
        <v>2014</v>
      </c>
      <c r="C234" s="20" t="s">
        <v>17</v>
      </c>
      <c r="D234" s="20" t="s">
        <v>24</v>
      </c>
      <c r="E234" s="20">
        <v>3</v>
      </c>
      <c r="F234" s="20" t="s">
        <v>46</v>
      </c>
      <c r="G234" s="19">
        <v>41902</v>
      </c>
      <c r="H234" s="20" t="s">
        <v>57</v>
      </c>
      <c r="I234" s="20" t="s">
        <v>55</v>
      </c>
    </row>
    <row r="235" spans="1:9">
      <c r="A235" s="19">
        <v>41930</v>
      </c>
      <c r="B235" s="20">
        <v>2014</v>
      </c>
      <c r="C235" s="20" t="s">
        <v>41</v>
      </c>
      <c r="D235" s="20" t="s">
        <v>31</v>
      </c>
      <c r="E235" s="20">
        <v>2.4</v>
      </c>
      <c r="F235" s="20" t="s">
        <v>32</v>
      </c>
      <c r="G235" s="19">
        <v>41902</v>
      </c>
      <c r="H235" s="20" t="s">
        <v>57</v>
      </c>
      <c r="I235" s="20" t="s">
        <v>55</v>
      </c>
    </row>
    <row r="236" spans="1:9">
      <c r="A236" s="19">
        <v>41932</v>
      </c>
      <c r="B236" s="20">
        <v>2014</v>
      </c>
      <c r="C236" s="20" t="s">
        <v>17</v>
      </c>
      <c r="D236" s="20" t="s">
        <v>24</v>
      </c>
      <c r="E236" s="20">
        <v>14.7</v>
      </c>
      <c r="F236" s="20" t="s">
        <v>46</v>
      </c>
      <c r="G236" s="19">
        <v>41902</v>
      </c>
      <c r="H236" s="20" t="s">
        <v>57</v>
      </c>
      <c r="I236" s="20" t="s">
        <v>55</v>
      </c>
    </row>
    <row r="237" spans="1:9">
      <c r="A237" s="19">
        <v>41932</v>
      </c>
      <c r="B237" s="20">
        <v>2014</v>
      </c>
      <c r="C237" s="20">
        <v>4</v>
      </c>
      <c r="D237" s="20" t="s">
        <v>33</v>
      </c>
      <c r="E237" s="20">
        <v>3.6</v>
      </c>
      <c r="F237" s="20" t="s">
        <v>46</v>
      </c>
      <c r="G237" s="19">
        <v>41894</v>
      </c>
      <c r="H237" s="20" t="s">
        <v>57</v>
      </c>
      <c r="I237" s="20" t="s">
        <v>55</v>
      </c>
    </row>
    <row r="238" spans="1:9">
      <c r="A238" s="19">
        <v>41933</v>
      </c>
      <c r="B238" s="20">
        <v>2014</v>
      </c>
      <c r="C238" s="20">
        <v>4</v>
      </c>
      <c r="D238" s="20" t="s">
        <v>33</v>
      </c>
      <c r="E238" s="20">
        <v>2.4</v>
      </c>
      <c r="F238" s="20" t="s">
        <v>46</v>
      </c>
      <c r="G238" s="19">
        <v>41894</v>
      </c>
      <c r="H238" s="20" t="s">
        <v>57</v>
      </c>
      <c r="I238" s="20" t="s">
        <v>55</v>
      </c>
    </row>
    <row r="239" spans="1:9">
      <c r="A239" s="19">
        <v>41933</v>
      </c>
      <c r="B239" s="20">
        <v>2014</v>
      </c>
      <c r="C239" s="20" t="s">
        <v>17</v>
      </c>
      <c r="D239" s="20" t="s">
        <v>24</v>
      </c>
      <c r="E239" s="20">
        <v>1.8</v>
      </c>
      <c r="F239" s="20" t="s">
        <v>46</v>
      </c>
      <c r="G239" s="19">
        <v>41902</v>
      </c>
      <c r="H239" s="20" t="s">
        <v>57</v>
      </c>
      <c r="I239" s="20" t="s">
        <v>55</v>
      </c>
    </row>
    <row r="240" spans="1:9">
      <c r="A240" s="19">
        <v>41933</v>
      </c>
      <c r="B240" s="20">
        <v>2014</v>
      </c>
      <c r="C240" s="20" t="s">
        <v>51</v>
      </c>
      <c r="D240" s="20" t="s">
        <v>60</v>
      </c>
      <c r="E240" s="20">
        <v>15.6</v>
      </c>
      <c r="F240" s="20" t="s">
        <v>32</v>
      </c>
      <c r="G240" s="19">
        <v>41851</v>
      </c>
      <c r="H240" s="20" t="s">
        <v>54</v>
      </c>
      <c r="I240" s="20" t="s">
        <v>55</v>
      </c>
    </row>
    <row r="241" spans="1:9">
      <c r="A241" s="19">
        <v>41933</v>
      </c>
      <c r="B241" s="20">
        <v>2014</v>
      </c>
      <c r="C241" s="20" t="s">
        <v>17</v>
      </c>
      <c r="D241" s="20" t="s">
        <v>31</v>
      </c>
      <c r="E241" s="20">
        <v>0.6</v>
      </c>
      <c r="F241" s="20" t="s">
        <v>32</v>
      </c>
      <c r="G241" s="19">
        <v>41902</v>
      </c>
      <c r="H241" s="20" t="s">
        <v>57</v>
      </c>
      <c r="I241" s="20" t="s">
        <v>55</v>
      </c>
    </row>
    <row r="242" spans="1:9">
      <c r="A242" s="19">
        <v>41934</v>
      </c>
      <c r="B242" s="20">
        <v>2014</v>
      </c>
      <c r="C242" s="20" t="s">
        <v>51</v>
      </c>
      <c r="D242" s="20" t="s">
        <v>60</v>
      </c>
      <c r="E242" s="20">
        <v>1.2</v>
      </c>
      <c r="F242" s="20" t="s">
        <v>32</v>
      </c>
      <c r="G242" s="19">
        <v>41851</v>
      </c>
      <c r="H242" s="20" t="s">
        <v>54</v>
      </c>
      <c r="I242" s="20" t="s">
        <v>55</v>
      </c>
    </row>
    <row r="243" spans="1:9">
      <c r="A243" s="19">
        <v>41935</v>
      </c>
      <c r="B243" s="20">
        <v>2014</v>
      </c>
      <c r="C243" s="20" t="s">
        <v>51</v>
      </c>
      <c r="D243" s="20" t="s">
        <v>60</v>
      </c>
      <c r="E243" s="20">
        <v>6</v>
      </c>
      <c r="F243" s="20" t="s">
        <v>32</v>
      </c>
      <c r="G243" s="19">
        <v>41851</v>
      </c>
      <c r="H243" s="20" t="s">
        <v>54</v>
      </c>
      <c r="I243" s="20" t="s">
        <v>55</v>
      </c>
    </row>
    <row r="244" spans="1:9">
      <c r="A244" s="19">
        <v>41935</v>
      </c>
      <c r="B244" s="20">
        <v>2014</v>
      </c>
      <c r="C244" s="20">
        <v>1</v>
      </c>
      <c r="D244" s="20" t="s">
        <v>59</v>
      </c>
      <c r="E244" s="20">
        <v>1.2</v>
      </c>
      <c r="F244" s="20" t="s">
        <v>32</v>
      </c>
      <c r="G244" s="19">
        <v>41851</v>
      </c>
      <c r="H244" s="20" t="s">
        <v>54</v>
      </c>
      <c r="I244" s="20" t="s">
        <v>55</v>
      </c>
    </row>
    <row r="245" spans="1:9">
      <c r="A245" s="19">
        <v>41937</v>
      </c>
      <c r="B245" s="20">
        <v>2014</v>
      </c>
      <c r="C245" s="20" t="s">
        <v>51</v>
      </c>
      <c r="D245" s="20" t="s">
        <v>60</v>
      </c>
      <c r="E245" s="20">
        <v>2.4</v>
      </c>
      <c r="F245" s="20" t="s">
        <v>32</v>
      </c>
      <c r="G245" s="19">
        <v>41851</v>
      </c>
      <c r="H245" s="20" t="s">
        <v>54</v>
      </c>
      <c r="I245" s="20" t="s">
        <v>55</v>
      </c>
    </row>
    <row r="246" spans="1:9">
      <c r="A246" s="19">
        <v>41521</v>
      </c>
      <c r="B246" s="20">
        <v>2013</v>
      </c>
      <c r="C246" s="20">
        <v>1</v>
      </c>
      <c r="D246" s="20" t="s">
        <v>61</v>
      </c>
      <c r="E246" s="20">
        <v>0.45</v>
      </c>
      <c r="F246" s="20" t="s">
        <v>32</v>
      </c>
      <c r="G246" s="19">
        <v>41479</v>
      </c>
      <c r="H246" s="20" t="s">
        <v>62</v>
      </c>
      <c r="I246" s="20">
        <v>21</v>
      </c>
    </row>
    <row r="247" spans="1:9">
      <c r="A247" s="19">
        <v>41526</v>
      </c>
      <c r="B247" s="20">
        <v>2013</v>
      </c>
      <c r="C247" s="20">
        <v>3</v>
      </c>
      <c r="D247" s="20" t="s">
        <v>25</v>
      </c>
      <c r="E247" s="20">
        <v>3.6</v>
      </c>
      <c r="F247" s="20" t="s">
        <v>32</v>
      </c>
      <c r="G247" s="19">
        <v>41518</v>
      </c>
      <c r="H247" s="20" t="s">
        <v>63</v>
      </c>
      <c r="I247" s="20">
        <v>7</v>
      </c>
    </row>
    <row r="248" spans="1:9">
      <c r="A248" s="19">
        <v>41531</v>
      </c>
      <c r="B248" s="20">
        <v>2013</v>
      </c>
      <c r="C248" s="20">
        <v>1</v>
      </c>
      <c r="D248" s="20" t="s">
        <v>61</v>
      </c>
      <c r="E248" s="20">
        <v>1.2</v>
      </c>
      <c r="F248" s="20" t="s">
        <v>32</v>
      </c>
      <c r="G248" s="19">
        <v>41479</v>
      </c>
      <c r="H248" s="20" t="s">
        <v>62</v>
      </c>
      <c r="I248" s="20">
        <v>21</v>
      </c>
    </row>
    <row r="249" spans="1:9">
      <c r="A249" s="19">
        <v>41533</v>
      </c>
      <c r="B249" s="20">
        <v>2013</v>
      </c>
      <c r="C249" s="20">
        <v>3</v>
      </c>
      <c r="D249" s="20" t="s">
        <v>25</v>
      </c>
      <c r="E249" s="20">
        <v>16.2</v>
      </c>
      <c r="F249" s="20" t="s">
        <v>32</v>
      </c>
      <c r="G249" s="19">
        <v>41518</v>
      </c>
      <c r="H249" s="20" t="s">
        <v>63</v>
      </c>
      <c r="I249" s="20">
        <v>7</v>
      </c>
    </row>
    <row r="250" spans="1:9">
      <c r="A250" s="19">
        <v>41534</v>
      </c>
      <c r="B250" s="20">
        <v>2013</v>
      </c>
      <c r="C250" s="20">
        <v>3</v>
      </c>
      <c r="D250" s="20" t="s">
        <v>25</v>
      </c>
      <c r="E250" s="20">
        <v>5.4</v>
      </c>
      <c r="F250" s="20" t="s">
        <v>32</v>
      </c>
      <c r="G250" s="19">
        <v>41518</v>
      </c>
      <c r="H250" s="20" t="s">
        <v>63</v>
      </c>
      <c r="I250" s="20">
        <v>7</v>
      </c>
    </row>
    <row r="251" spans="1:9">
      <c r="A251" s="19">
        <v>41534</v>
      </c>
      <c r="B251" s="20">
        <v>2013</v>
      </c>
      <c r="C251" s="20">
        <v>3</v>
      </c>
      <c r="D251" s="20" t="s">
        <v>25</v>
      </c>
      <c r="E251" s="20">
        <v>10.8</v>
      </c>
      <c r="F251" s="20" t="s">
        <v>46</v>
      </c>
      <c r="G251" s="19">
        <v>41518</v>
      </c>
      <c r="H251" s="20" t="s">
        <v>63</v>
      </c>
      <c r="I251" s="20">
        <v>7</v>
      </c>
    </row>
    <row r="252" spans="1:9">
      <c r="A252" s="19">
        <v>41535</v>
      </c>
      <c r="B252" s="20">
        <v>2013</v>
      </c>
      <c r="C252" s="20">
        <v>3</v>
      </c>
      <c r="D252" s="20" t="s">
        <v>25</v>
      </c>
      <c r="E252" s="20">
        <v>4.2</v>
      </c>
      <c r="F252" s="20" t="s">
        <v>46</v>
      </c>
      <c r="G252" s="19">
        <v>41518</v>
      </c>
      <c r="H252" s="20" t="s">
        <v>63</v>
      </c>
      <c r="I252" s="20">
        <v>7</v>
      </c>
    </row>
    <row r="253" spans="1:9">
      <c r="A253" s="19">
        <v>41536</v>
      </c>
      <c r="B253" s="20">
        <v>2013</v>
      </c>
      <c r="C253" s="20">
        <v>3</v>
      </c>
      <c r="D253" s="20" t="s">
        <v>25</v>
      </c>
      <c r="E253" s="20">
        <v>6</v>
      </c>
      <c r="F253" s="20" t="s">
        <v>46</v>
      </c>
      <c r="G253" s="19">
        <v>41518</v>
      </c>
      <c r="H253" s="20" t="s">
        <v>63</v>
      </c>
      <c r="I253" s="20">
        <v>7</v>
      </c>
    </row>
    <row r="254" spans="1:9">
      <c r="A254" s="19">
        <v>41537</v>
      </c>
      <c r="B254" s="20">
        <v>2013</v>
      </c>
      <c r="C254" s="20">
        <v>3</v>
      </c>
      <c r="D254" s="20" t="s">
        <v>25</v>
      </c>
      <c r="E254" s="20">
        <v>12.6</v>
      </c>
      <c r="F254" s="20" t="s">
        <v>46</v>
      </c>
      <c r="G254" s="19">
        <v>41518</v>
      </c>
      <c r="H254" s="20" t="s">
        <v>63</v>
      </c>
      <c r="I254" s="20">
        <v>7</v>
      </c>
    </row>
    <row r="255" spans="1:9">
      <c r="A255" s="19">
        <v>41538</v>
      </c>
      <c r="B255" s="20">
        <v>2013</v>
      </c>
      <c r="C255" s="20">
        <v>3</v>
      </c>
      <c r="D255" s="20" t="s">
        <v>25</v>
      </c>
      <c r="E255" s="20">
        <v>3.9</v>
      </c>
      <c r="F255" s="20" t="s">
        <v>46</v>
      </c>
      <c r="G255" s="19">
        <v>41518</v>
      </c>
      <c r="H255" s="20" t="s">
        <v>63</v>
      </c>
      <c r="I255" s="20">
        <v>7</v>
      </c>
    </row>
    <row r="256" spans="1:9">
      <c r="A256" s="19">
        <v>41538</v>
      </c>
      <c r="B256" s="20">
        <v>2013</v>
      </c>
      <c r="C256" s="20">
        <v>3</v>
      </c>
      <c r="D256" s="20" t="s">
        <v>64</v>
      </c>
      <c r="E256" s="20">
        <v>2.25</v>
      </c>
      <c r="F256" s="20" t="s">
        <v>32</v>
      </c>
      <c r="G256" s="19">
        <v>41518</v>
      </c>
      <c r="H256" s="20" t="s">
        <v>63</v>
      </c>
      <c r="I256" s="20">
        <v>7</v>
      </c>
    </row>
    <row r="257" spans="1:9">
      <c r="A257" s="19">
        <v>41540</v>
      </c>
      <c r="B257" s="20">
        <v>2013</v>
      </c>
      <c r="C257" s="20">
        <v>3</v>
      </c>
      <c r="D257" s="20" t="s">
        <v>25</v>
      </c>
      <c r="E257" s="20">
        <v>4.8</v>
      </c>
      <c r="F257" s="20" t="s">
        <v>46</v>
      </c>
      <c r="G257" s="19">
        <v>41518</v>
      </c>
      <c r="H257" s="20" t="s">
        <v>63</v>
      </c>
      <c r="I257" s="20">
        <v>7</v>
      </c>
    </row>
    <row r="258" spans="1:9">
      <c r="A258" s="19">
        <v>41540</v>
      </c>
      <c r="B258" s="20">
        <v>2013</v>
      </c>
      <c r="C258" s="20" t="s">
        <v>13</v>
      </c>
      <c r="D258" s="20" t="s">
        <v>25</v>
      </c>
      <c r="E258" s="20">
        <v>15.3</v>
      </c>
      <c r="F258" s="20" t="s">
        <v>46</v>
      </c>
      <c r="G258" s="19">
        <v>41530</v>
      </c>
      <c r="H258" s="20" t="s">
        <v>63</v>
      </c>
      <c r="I258" s="20">
        <v>7</v>
      </c>
    </row>
    <row r="259" spans="1:9">
      <c r="A259" s="19">
        <v>41541</v>
      </c>
      <c r="B259" s="20">
        <v>2013</v>
      </c>
      <c r="C259" s="20" t="s">
        <v>13</v>
      </c>
      <c r="D259" s="20" t="s">
        <v>25</v>
      </c>
      <c r="E259" s="20">
        <v>23.7</v>
      </c>
      <c r="F259" s="20" t="s">
        <v>46</v>
      </c>
      <c r="G259" s="19">
        <v>41530</v>
      </c>
      <c r="H259" s="20" t="s">
        <v>63</v>
      </c>
      <c r="I259" s="20">
        <v>7</v>
      </c>
    </row>
    <row r="260" spans="1:9">
      <c r="A260" s="19">
        <v>41542</v>
      </c>
      <c r="B260" s="20">
        <v>2013</v>
      </c>
      <c r="C260" s="20" t="s">
        <v>13</v>
      </c>
      <c r="D260" s="20" t="s">
        <v>25</v>
      </c>
      <c r="E260" s="20">
        <v>3</v>
      </c>
      <c r="F260" s="20" t="s">
        <v>46</v>
      </c>
      <c r="G260" s="19">
        <v>41530</v>
      </c>
      <c r="H260" s="20" t="s">
        <v>63</v>
      </c>
      <c r="I260" s="20">
        <v>7</v>
      </c>
    </row>
    <row r="261" spans="1:9">
      <c r="A261" s="19">
        <v>41542</v>
      </c>
      <c r="B261" s="20">
        <v>2013</v>
      </c>
      <c r="C261" s="20">
        <v>3</v>
      </c>
      <c r="D261" s="20" t="s">
        <v>25</v>
      </c>
      <c r="E261" s="20">
        <v>18</v>
      </c>
      <c r="F261" s="20" t="s">
        <v>46</v>
      </c>
      <c r="G261" s="19">
        <v>41518</v>
      </c>
      <c r="H261" s="20" t="s">
        <v>63</v>
      </c>
      <c r="I261" s="20">
        <v>7</v>
      </c>
    </row>
    <row r="262" spans="1:9">
      <c r="A262" s="19">
        <v>41543</v>
      </c>
      <c r="B262" s="20">
        <v>2013</v>
      </c>
      <c r="C262" s="20">
        <v>3</v>
      </c>
      <c r="D262" s="20" t="s">
        <v>25</v>
      </c>
      <c r="E262" s="20">
        <v>20.399999999999999</v>
      </c>
      <c r="F262" s="20" t="s">
        <v>46</v>
      </c>
      <c r="G262" s="19">
        <v>41518</v>
      </c>
      <c r="H262" s="20" t="s">
        <v>63</v>
      </c>
      <c r="I262" s="20">
        <v>7</v>
      </c>
    </row>
    <row r="263" spans="1:9">
      <c r="A263" s="19">
        <v>41544</v>
      </c>
      <c r="B263" s="20">
        <v>2013</v>
      </c>
      <c r="C263" s="20">
        <v>3</v>
      </c>
      <c r="D263" s="20" t="s">
        <v>25</v>
      </c>
      <c r="E263" s="20">
        <v>12.3</v>
      </c>
      <c r="F263" s="20" t="s">
        <v>46</v>
      </c>
      <c r="G263" s="19">
        <v>41518</v>
      </c>
      <c r="H263" s="20" t="s">
        <v>63</v>
      </c>
      <c r="I263" s="20">
        <v>7</v>
      </c>
    </row>
    <row r="264" spans="1:9">
      <c r="A264" s="19">
        <v>41545</v>
      </c>
      <c r="B264" s="20">
        <v>2013</v>
      </c>
      <c r="C264" s="20" t="s">
        <v>65</v>
      </c>
      <c r="D264" s="20" t="s">
        <v>28</v>
      </c>
      <c r="E264" s="20">
        <v>8.4</v>
      </c>
      <c r="F264" s="20" t="s">
        <v>46</v>
      </c>
      <c r="G264" s="19">
        <v>41523</v>
      </c>
      <c r="H264" s="20" t="s">
        <v>66</v>
      </c>
      <c r="I264" s="20">
        <v>21</v>
      </c>
    </row>
    <row r="265" spans="1:9">
      <c r="A265" s="19">
        <v>41545</v>
      </c>
      <c r="B265" s="20">
        <v>2013</v>
      </c>
      <c r="C265" s="20" t="s">
        <v>67</v>
      </c>
      <c r="D265" s="20" t="s">
        <v>64</v>
      </c>
      <c r="E265" s="20">
        <v>3.9</v>
      </c>
      <c r="F265" s="20" t="s">
        <v>32</v>
      </c>
      <c r="G265" s="19">
        <v>41530</v>
      </c>
      <c r="H265" s="20" t="s">
        <v>63</v>
      </c>
      <c r="I265" s="20">
        <v>7</v>
      </c>
    </row>
    <row r="266" spans="1:9">
      <c r="A266" s="19">
        <v>41547</v>
      </c>
      <c r="B266" s="20">
        <v>2013</v>
      </c>
      <c r="C266" s="20" t="s">
        <v>16</v>
      </c>
      <c r="D266" s="20" t="s">
        <v>28</v>
      </c>
      <c r="E266" s="20">
        <v>14.4</v>
      </c>
      <c r="F266" s="20" t="s">
        <v>46</v>
      </c>
      <c r="G266" s="19">
        <v>41540</v>
      </c>
      <c r="H266" s="20" t="s">
        <v>68</v>
      </c>
      <c r="I266" s="20">
        <v>3</v>
      </c>
    </row>
    <row r="267" spans="1:9">
      <c r="A267" s="19">
        <v>41547</v>
      </c>
      <c r="B267" s="20">
        <v>2013</v>
      </c>
      <c r="C267" s="20">
        <v>3</v>
      </c>
      <c r="D267" s="20" t="s">
        <v>25</v>
      </c>
      <c r="E267" s="20">
        <v>3</v>
      </c>
      <c r="F267" s="20" t="s">
        <v>46</v>
      </c>
      <c r="G267" s="19">
        <v>41518</v>
      </c>
      <c r="H267" s="20" t="s">
        <v>63</v>
      </c>
      <c r="I267" s="20">
        <v>7</v>
      </c>
    </row>
    <row r="268" spans="1:9">
      <c r="A268" s="19">
        <v>41548</v>
      </c>
      <c r="B268" s="20">
        <v>2013</v>
      </c>
      <c r="C268" s="20" t="s">
        <v>16</v>
      </c>
      <c r="D268" s="20" t="s">
        <v>28</v>
      </c>
      <c r="E268" s="20">
        <v>21.9</v>
      </c>
      <c r="F268" s="20" t="s">
        <v>46</v>
      </c>
      <c r="G268" s="19">
        <v>41540</v>
      </c>
      <c r="H268" s="20" t="s">
        <v>68</v>
      </c>
      <c r="I268" s="20">
        <v>3</v>
      </c>
    </row>
    <row r="269" spans="1:9">
      <c r="A269" s="19">
        <v>41549</v>
      </c>
      <c r="B269" s="20">
        <v>2013</v>
      </c>
      <c r="C269" s="20" t="s">
        <v>16</v>
      </c>
      <c r="D269" s="20" t="s">
        <v>28</v>
      </c>
      <c r="E269" s="20">
        <v>15.6</v>
      </c>
      <c r="F269" s="20" t="s">
        <v>46</v>
      </c>
      <c r="G269" s="19">
        <v>41540</v>
      </c>
      <c r="H269" s="20" t="s">
        <v>68</v>
      </c>
      <c r="I269" s="20">
        <v>3</v>
      </c>
    </row>
    <row r="270" spans="1:9">
      <c r="A270" s="19">
        <v>41549</v>
      </c>
      <c r="B270" s="20">
        <v>2013</v>
      </c>
      <c r="C270" s="20" t="s">
        <v>13</v>
      </c>
      <c r="D270" s="20" t="s">
        <v>25</v>
      </c>
      <c r="E270" s="20">
        <v>2.4</v>
      </c>
      <c r="F270" s="20" t="s">
        <v>46</v>
      </c>
      <c r="G270" s="19">
        <v>41530</v>
      </c>
      <c r="H270" s="20" t="s">
        <v>63</v>
      </c>
      <c r="I270" s="20">
        <v>7</v>
      </c>
    </row>
    <row r="271" spans="1:9">
      <c r="A271" s="19">
        <v>41550</v>
      </c>
      <c r="B271" s="20">
        <v>2013</v>
      </c>
      <c r="C271" s="20" t="s">
        <v>16</v>
      </c>
      <c r="D271" s="20" t="s">
        <v>28</v>
      </c>
      <c r="E271" s="20">
        <v>11.4</v>
      </c>
      <c r="F271" s="20" t="s">
        <v>46</v>
      </c>
      <c r="G271" s="19">
        <v>41540</v>
      </c>
      <c r="H271" s="20" t="s">
        <v>68</v>
      </c>
      <c r="I271" s="20">
        <v>3</v>
      </c>
    </row>
    <row r="272" spans="1:9">
      <c r="A272" s="19">
        <v>41550</v>
      </c>
      <c r="B272" s="20">
        <v>2013</v>
      </c>
      <c r="C272" s="20" t="s">
        <v>13</v>
      </c>
      <c r="D272" s="20" t="s">
        <v>25</v>
      </c>
      <c r="E272" s="20">
        <v>7.2</v>
      </c>
      <c r="F272" s="20" t="s">
        <v>46</v>
      </c>
      <c r="G272" s="19">
        <v>41530</v>
      </c>
      <c r="H272" s="20" t="s">
        <v>63</v>
      </c>
      <c r="I272" s="20">
        <v>7</v>
      </c>
    </row>
    <row r="273" spans="1:9">
      <c r="A273" s="19">
        <v>41551</v>
      </c>
      <c r="B273" s="20">
        <v>2013</v>
      </c>
      <c r="C273" s="20" t="s">
        <v>16</v>
      </c>
      <c r="D273" s="20" t="s">
        <v>28</v>
      </c>
      <c r="E273" s="20">
        <v>5.7</v>
      </c>
      <c r="F273" s="20" t="s">
        <v>46</v>
      </c>
      <c r="G273" s="19">
        <v>41540</v>
      </c>
      <c r="H273" s="20" t="s">
        <v>68</v>
      </c>
      <c r="I273" s="20">
        <v>3</v>
      </c>
    </row>
    <row r="274" spans="1:9">
      <c r="A274" s="19">
        <v>41551</v>
      </c>
      <c r="B274" s="20">
        <v>2013</v>
      </c>
      <c r="C274" s="20" t="s">
        <v>13</v>
      </c>
      <c r="D274" s="20" t="s">
        <v>25</v>
      </c>
      <c r="E274" s="20">
        <v>4.8</v>
      </c>
      <c r="F274" s="20" t="s">
        <v>46</v>
      </c>
      <c r="G274" s="19">
        <v>41530</v>
      </c>
      <c r="H274" s="20" t="s">
        <v>63</v>
      </c>
      <c r="I274" s="20">
        <v>7</v>
      </c>
    </row>
    <row r="275" spans="1:9">
      <c r="A275" s="19">
        <v>41551</v>
      </c>
      <c r="B275" s="20">
        <v>2013</v>
      </c>
      <c r="C275" s="20">
        <v>3</v>
      </c>
      <c r="D275" s="20" t="s">
        <v>25</v>
      </c>
      <c r="E275" s="20">
        <v>3.3</v>
      </c>
      <c r="F275" s="20" t="s">
        <v>46</v>
      </c>
      <c r="G275" s="19">
        <v>41518</v>
      </c>
      <c r="H275" s="20" t="s">
        <v>63</v>
      </c>
      <c r="I275" s="20">
        <v>7</v>
      </c>
    </row>
    <row r="276" spans="1:9">
      <c r="A276" s="19">
        <v>41552</v>
      </c>
      <c r="B276" s="20">
        <v>2013</v>
      </c>
      <c r="C276" s="20" t="s">
        <v>16</v>
      </c>
      <c r="D276" s="20" t="s">
        <v>28</v>
      </c>
      <c r="E276" s="20">
        <v>0.6</v>
      </c>
      <c r="F276" s="20" t="s">
        <v>46</v>
      </c>
      <c r="G276" s="19">
        <v>41540</v>
      </c>
      <c r="H276" s="20" t="s">
        <v>68</v>
      </c>
      <c r="I276" s="20">
        <v>3</v>
      </c>
    </row>
    <row r="277" spans="1:9">
      <c r="A277" s="19">
        <v>41552</v>
      </c>
      <c r="B277" s="20">
        <v>2013</v>
      </c>
      <c r="C277" s="20" t="s">
        <v>13</v>
      </c>
      <c r="D277" s="20" t="s">
        <v>25</v>
      </c>
      <c r="E277" s="20">
        <v>2.25</v>
      </c>
      <c r="F277" s="20" t="s">
        <v>46</v>
      </c>
      <c r="G277" s="19">
        <v>41530</v>
      </c>
      <c r="H277" s="20" t="s">
        <v>63</v>
      </c>
      <c r="I277" s="20">
        <v>7</v>
      </c>
    </row>
    <row r="278" spans="1:9">
      <c r="A278" s="19">
        <v>41552</v>
      </c>
      <c r="B278" s="20">
        <v>2013</v>
      </c>
      <c r="C278" s="20" t="s">
        <v>69</v>
      </c>
      <c r="D278" s="20" t="s">
        <v>64</v>
      </c>
      <c r="E278" s="20">
        <v>2.4</v>
      </c>
      <c r="F278" s="20" t="s">
        <v>32</v>
      </c>
      <c r="G278" s="19">
        <v>41540</v>
      </c>
      <c r="H278" s="20" t="s">
        <v>68</v>
      </c>
      <c r="I278" s="20">
        <v>3</v>
      </c>
    </row>
    <row r="279" spans="1:9">
      <c r="A279" s="19">
        <v>41554</v>
      </c>
      <c r="B279" s="20">
        <v>2013</v>
      </c>
      <c r="C279" s="20">
        <v>5</v>
      </c>
      <c r="D279" s="20" t="s">
        <v>35</v>
      </c>
      <c r="E279" s="20">
        <v>7.5</v>
      </c>
      <c r="F279" s="20" t="s">
        <v>46</v>
      </c>
      <c r="G279" s="19">
        <v>41545</v>
      </c>
      <c r="H279" s="20" t="s">
        <v>68</v>
      </c>
      <c r="I279" s="20">
        <v>3</v>
      </c>
    </row>
    <row r="280" spans="1:9">
      <c r="A280" s="19">
        <v>41554</v>
      </c>
      <c r="B280" s="20">
        <v>2013</v>
      </c>
      <c r="C280" s="20">
        <v>3</v>
      </c>
      <c r="D280" s="20" t="s">
        <v>25</v>
      </c>
      <c r="E280" s="20">
        <v>6</v>
      </c>
      <c r="F280" s="20" t="s">
        <v>46</v>
      </c>
      <c r="G280" s="19">
        <v>41518</v>
      </c>
      <c r="H280" s="20" t="s">
        <v>63</v>
      </c>
      <c r="I280" s="20">
        <v>7</v>
      </c>
    </row>
    <row r="281" spans="1:9">
      <c r="A281" s="19">
        <v>41555</v>
      </c>
      <c r="B281" s="20">
        <v>2013</v>
      </c>
      <c r="C281" s="20">
        <v>3</v>
      </c>
      <c r="D281" s="20" t="s">
        <v>25</v>
      </c>
      <c r="E281" s="20">
        <v>8.4</v>
      </c>
      <c r="F281" s="20" t="s">
        <v>46</v>
      </c>
      <c r="G281" s="19">
        <v>41518</v>
      </c>
      <c r="H281" s="20" t="s">
        <v>63</v>
      </c>
      <c r="I281" s="20">
        <v>7</v>
      </c>
    </row>
    <row r="282" spans="1:9">
      <c r="A282" s="19">
        <v>41555</v>
      </c>
      <c r="B282" s="20">
        <v>2013</v>
      </c>
      <c r="C282" s="20" t="s">
        <v>51</v>
      </c>
      <c r="D282" s="20" t="s">
        <v>52</v>
      </c>
      <c r="E282" s="20">
        <v>3.6</v>
      </c>
      <c r="F282" s="20" t="s">
        <v>46</v>
      </c>
      <c r="G282" s="19">
        <v>41540</v>
      </c>
      <c r="H282" s="20" t="s">
        <v>68</v>
      </c>
      <c r="I282" s="20">
        <v>3</v>
      </c>
    </row>
    <row r="283" spans="1:9">
      <c r="A283" s="19">
        <v>41556</v>
      </c>
      <c r="B283" s="20">
        <v>2013</v>
      </c>
      <c r="C283" s="20" t="s">
        <v>13</v>
      </c>
      <c r="D283" s="20" t="s">
        <v>25</v>
      </c>
      <c r="E283" s="20">
        <v>4.2</v>
      </c>
      <c r="F283" s="20" t="s">
        <v>46</v>
      </c>
      <c r="G283" s="19">
        <v>41530</v>
      </c>
      <c r="H283" s="20" t="s">
        <v>63</v>
      </c>
      <c r="I283" s="20">
        <v>7</v>
      </c>
    </row>
    <row r="284" spans="1:9">
      <c r="A284" s="19">
        <v>41556</v>
      </c>
      <c r="B284" s="20">
        <v>2013</v>
      </c>
      <c r="C284" s="20" t="s">
        <v>17</v>
      </c>
      <c r="D284" s="20" t="s">
        <v>35</v>
      </c>
      <c r="E284" s="20">
        <v>4.2</v>
      </c>
      <c r="F284" s="20" t="s">
        <v>46</v>
      </c>
      <c r="G284" s="19">
        <v>41545</v>
      </c>
      <c r="H284" s="20" t="s">
        <v>68</v>
      </c>
      <c r="I284" s="20">
        <v>3</v>
      </c>
    </row>
    <row r="285" spans="1:9">
      <c r="A285" s="19">
        <v>41556</v>
      </c>
      <c r="B285" s="20">
        <v>2013</v>
      </c>
      <c r="C285" s="20" t="s">
        <v>70</v>
      </c>
      <c r="D285" s="20" t="s">
        <v>64</v>
      </c>
      <c r="E285" s="20">
        <v>1.2</v>
      </c>
      <c r="F285" s="20" t="s">
        <v>32</v>
      </c>
      <c r="G285" s="19">
        <v>41545</v>
      </c>
      <c r="H285" s="20" t="s">
        <v>68</v>
      </c>
      <c r="I285" s="20">
        <v>3</v>
      </c>
    </row>
    <row r="286" spans="1:9">
      <c r="A286" s="19">
        <v>41561</v>
      </c>
      <c r="B286" s="20">
        <v>2013</v>
      </c>
      <c r="C286" s="20" t="s">
        <v>41</v>
      </c>
      <c r="D286" s="20" t="s">
        <v>35</v>
      </c>
      <c r="E286" s="20">
        <v>13.8</v>
      </c>
      <c r="F286" s="20" t="s">
        <v>46</v>
      </c>
      <c r="G286" s="19">
        <v>41545</v>
      </c>
      <c r="H286" s="20" t="s">
        <v>68</v>
      </c>
      <c r="I286" s="20">
        <v>3</v>
      </c>
    </row>
    <row r="287" spans="1:9">
      <c r="A287" s="19">
        <v>41562</v>
      </c>
      <c r="B287" s="20">
        <v>2013</v>
      </c>
      <c r="C287" s="20" t="s">
        <v>41</v>
      </c>
      <c r="D287" s="20" t="s">
        <v>35</v>
      </c>
      <c r="E287" s="20">
        <v>16.8</v>
      </c>
      <c r="F287" s="20" t="s">
        <v>46</v>
      </c>
      <c r="G287" s="19">
        <v>41545</v>
      </c>
      <c r="H287" s="20" t="s">
        <v>68</v>
      </c>
      <c r="I287" s="20">
        <v>3</v>
      </c>
    </row>
    <row r="288" spans="1:9">
      <c r="A288" s="19">
        <v>41563</v>
      </c>
      <c r="B288" s="20">
        <v>2013</v>
      </c>
      <c r="C288" s="20" t="s">
        <v>41</v>
      </c>
      <c r="D288" s="20" t="s">
        <v>35</v>
      </c>
      <c r="E288" s="20">
        <v>16.2</v>
      </c>
      <c r="F288" s="20" t="s">
        <v>46</v>
      </c>
      <c r="G288" s="19">
        <v>41545</v>
      </c>
      <c r="H288" s="20" t="s">
        <v>68</v>
      </c>
      <c r="I288" s="20">
        <v>3</v>
      </c>
    </row>
    <row r="289" spans="1:9">
      <c r="A289" s="19">
        <v>41564</v>
      </c>
      <c r="B289" s="20">
        <v>2013</v>
      </c>
      <c r="C289" s="20" t="s">
        <v>17</v>
      </c>
      <c r="D289" s="20" t="s">
        <v>35</v>
      </c>
      <c r="E289" s="20">
        <v>13.5</v>
      </c>
      <c r="F289" s="20" t="s">
        <v>46</v>
      </c>
      <c r="G289" s="19">
        <v>41545</v>
      </c>
      <c r="H289" s="20" t="s">
        <v>68</v>
      </c>
      <c r="I289" s="20">
        <v>3</v>
      </c>
    </row>
    <row r="290" spans="1:9">
      <c r="A290" s="19">
        <v>41565</v>
      </c>
      <c r="B290" s="20">
        <v>2013</v>
      </c>
      <c r="C290" s="20" t="s">
        <v>17</v>
      </c>
      <c r="D290" s="20" t="s">
        <v>35</v>
      </c>
      <c r="E290" s="20">
        <v>8.6999999999999993</v>
      </c>
      <c r="F290" s="20" t="s">
        <v>46</v>
      </c>
      <c r="G290" s="19">
        <v>41545</v>
      </c>
      <c r="H290" s="20" t="s">
        <v>68</v>
      </c>
      <c r="I290" s="20">
        <v>3</v>
      </c>
    </row>
    <row r="291" spans="1:9">
      <c r="A291" s="19">
        <v>41565</v>
      </c>
      <c r="B291" s="20">
        <v>2013</v>
      </c>
      <c r="C291" s="20" t="s">
        <v>41</v>
      </c>
      <c r="D291" s="20" t="s">
        <v>64</v>
      </c>
      <c r="E291" s="20">
        <v>7.8</v>
      </c>
      <c r="F291" s="20" t="s">
        <v>32</v>
      </c>
      <c r="G291" s="19">
        <v>41545</v>
      </c>
      <c r="H291" s="20" t="s">
        <v>68</v>
      </c>
      <c r="I291" s="20">
        <v>3</v>
      </c>
    </row>
    <row r="292" spans="1:9">
      <c r="A292" s="19">
        <v>41568</v>
      </c>
      <c r="B292" s="20">
        <v>2013</v>
      </c>
      <c r="C292" s="20" t="s">
        <v>51</v>
      </c>
      <c r="D292" s="20" t="s">
        <v>52</v>
      </c>
      <c r="E292" s="20">
        <v>8.1</v>
      </c>
      <c r="F292" s="20" t="s">
        <v>46</v>
      </c>
      <c r="G292" s="19">
        <v>41540</v>
      </c>
      <c r="H292" s="20" t="s">
        <v>68</v>
      </c>
      <c r="I292" s="20">
        <v>3</v>
      </c>
    </row>
    <row r="293" spans="1:9">
      <c r="A293" s="19">
        <v>41570</v>
      </c>
      <c r="B293" s="20">
        <v>2013</v>
      </c>
      <c r="C293" s="20">
        <v>5</v>
      </c>
      <c r="D293" s="20" t="s">
        <v>35</v>
      </c>
      <c r="E293" s="20">
        <v>2.7</v>
      </c>
      <c r="F293" s="20" t="s">
        <v>46</v>
      </c>
      <c r="G293" s="19">
        <v>41545</v>
      </c>
      <c r="H293" s="20" t="s">
        <v>68</v>
      </c>
      <c r="I293" s="20">
        <v>3</v>
      </c>
    </row>
    <row r="294" spans="1:9">
      <c r="A294" s="19">
        <v>41571</v>
      </c>
      <c r="B294" s="20">
        <v>2013</v>
      </c>
      <c r="C294" s="20">
        <v>5</v>
      </c>
      <c r="D294" s="20" t="s">
        <v>35</v>
      </c>
      <c r="E294" s="20">
        <v>9.6</v>
      </c>
      <c r="F294" s="20" t="s">
        <v>46</v>
      </c>
      <c r="G294" s="19">
        <v>41545</v>
      </c>
      <c r="H294" s="20" t="s">
        <v>68</v>
      </c>
      <c r="I294" s="20">
        <v>3</v>
      </c>
    </row>
    <row r="295" spans="1:9">
      <c r="A295" s="19">
        <v>41572</v>
      </c>
      <c r="B295" s="20">
        <v>2013</v>
      </c>
      <c r="C295" s="20">
        <v>5</v>
      </c>
      <c r="D295" s="20" t="s">
        <v>35</v>
      </c>
      <c r="E295" s="20">
        <v>13.2</v>
      </c>
      <c r="F295" s="20" t="s">
        <v>46</v>
      </c>
      <c r="G295" s="19">
        <v>41545</v>
      </c>
      <c r="H295" s="20" t="s">
        <v>68</v>
      </c>
      <c r="I295" s="20">
        <v>3</v>
      </c>
    </row>
    <row r="296" spans="1:9">
      <c r="A296" s="19">
        <v>41572</v>
      </c>
      <c r="B296" s="20">
        <v>2013</v>
      </c>
      <c r="C296" s="20" t="s">
        <v>71</v>
      </c>
      <c r="D296" s="20" t="s">
        <v>64</v>
      </c>
      <c r="E296" s="20">
        <v>5.4</v>
      </c>
      <c r="F296" s="20" t="s">
        <v>32</v>
      </c>
      <c r="G296" s="19">
        <v>41545</v>
      </c>
      <c r="H296" s="20" t="s">
        <v>68</v>
      </c>
      <c r="I296" s="20">
        <v>3</v>
      </c>
    </row>
    <row r="297" spans="1:9">
      <c r="A297" s="19">
        <v>41576</v>
      </c>
      <c r="B297" s="20">
        <v>2013</v>
      </c>
      <c r="C297" s="20" t="s">
        <v>17</v>
      </c>
      <c r="D297" s="20" t="s">
        <v>35</v>
      </c>
      <c r="E297" s="20">
        <v>9.3000000000000007</v>
      </c>
      <c r="F297" s="20" t="s">
        <v>46</v>
      </c>
      <c r="G297" s="19">
        <v>41545</v>
      </c>
      <c r="H297" s="20" t="s">
        <v>68</v>
      </c>
      <c r="I297" s="20">
        <v>3</v>
      </c>
    </row>
    <row r="298" spans="1:9">
      <c r="A298" s="19">
        <v>41577</v>
      </c>
      <c r="B298" s="20">
        <v>2013</v>
      </c>
      <c r="C298" s="20" t="s">
        <v>17</v>
      </c>
      <c r="D298" s="20" t="s">
        <v>35</v>
      </c>
      <c r="E298" s="20">
        <v>10.5</v>
      </c>
      <c r="F298" s="20" t="s">
        <v>46</v>
      </c>
      <c r="G298" s="19">
        <v>41545</v>
      </c>
      <c r="H298" s="20" t="s">
        <v>68</v>
      </c>
      <c r="I298" s="20">
        <v>3</v>
      </c>
    </row>
    <row r="299" spans="1:9">
      <c r="A299" s="19">
        <v>41578</v>
      </c>
      <c r="B299" s="20">
        <v>2013</v>
      </c>
      <c r="C299" s="20" t="s">
        <v>17</v>
      </c>
      <c r="D299" s="20" t="s">
        <v>35</v>
      </c>
      <c r="E299" s="20">
        <v>6</v>
      </c>
      <c r="F299" s="20" t="s">
        <v>46</v>
      </c>
      <c r="G299" s="19">
        <v>41545</v>
      </c>
      <c r="H299" s="20" t="s">
        <v>68</v>
      </c>
      <c r="I299" s="20">
        <v>3</v>
      </c>
    </row>
    <row r="300" spans="1:9">
      <c r="A300" s="19">
        <v>41578</v>
      </c>
      <c r="B300" s="20">
        <v>2013</v>
      </c>
      <c r="C300" s="20" t="s">
        <v>51</v>
      </c>
      <c r="D300" s="20" t="s">
        <v>52</v>
      </c>
      <c r="E300" s="20">
        <v>4.5</v>
      </c>
      <c r="F300" s="20" t="s">
        <v>46</v>
      </c>
      <c r="G300" s="19">
        <v>41540</v>
      </c>
      <c r="H300" s="20" t="s">
        <v>68</v>
      </c>
      <c r="I300" s="20">
        <v>3</v>
      </c>
    </row>
    <row r="301" spans="1:9">
      <c r="A301" s="19">
        <v>41578</v>
      </c>
      <c r="B301" s="20">
        <v>2013</v>
      </c>
      <c r="C301" s="20" t="s">
        <v>72</v>
      </c>
      <c r="D301" s="20" t="s">
        <v>64</v>
      </c>
      <c r="E301" s="20">
        <v>5.0999999999999996</v>
      </c>
      <c r="F301" s="20" t="s">
        <v>32</v>
      </c>
      <c r="G301" s="19">
        <v>41545</v>
      </c>
      <c r="H301" s="20" t="s">
        <v>68</v>
      </c>
      <c r="I301" s="20">
        <v>3</v>
      </c>
    </row>
    <row r="302" spans="1:9">
      <c r="A302" s="19">
        <v>41155</v>
      </c>
      <c r="B302" s="20">
        <v>2012</v>
      </c>
      <c r="C302" s="20" t="s">
        <v>13</v>
      </c>
      <c r="D302" s="20" t="s">
        <v>25</v>
      </c>
      <c r="E302" s="20">
        <v>1.2</v>
      </c>
      <c r="F302" s="20" t="s">
        <v>46</v>
      </c>
      <c r="G302" s="19">
        <v>41143</v>
      </c>
      <c r="H302" s="20" t="s">
        <v>73</v>
      </c>
      <c r="I302" s="20">
        <v>7</v>
      </c>
    </row>
    <row r="303" spans="1:9">
      <c r="A303" s="19">
        <v>41156</v>
      </c>
      <c r="B303" s="20">
        <v>2012</v>
      </c>
      <c r="C303" s="20" t="s">
        <v>13</v>
      </c>
      <c r="D303" s="20" t="s">
        <v>25</v>
      </c>
      <c r="E303" s="20">
        <v>1.2</v>
      </c>
      <c r="F303" s="20" t="s">
        <v>46</v>
      </c>
      <c r="G303" s="19">
        <v>41143</v>
      </c>
      <c r="H303" s="20" t="s">
        <v>73</v>
      </c>
      <c r="I303" s="20">
        <v>7</v>
      </c>
    </row>
    <row r="304" spans="1:9">
      <c r="A304" s="19">
        <v>41158</v>
      </c>
      <c r="B304" s="20">
        <v>2012</v>
      </c>
      <c r="C304" s="20" t="s">
        <v>13</v>
      </c>
      <c r="D304" s="20" t="s">
        <v>25</v>
      </c>
      <c r="E304" s="20">
        <v>1.8</v>
      </c>
      <c r="F304" s="20" t="s">
        <v>46</v>
      </c>
      <c r="G304" s="19">
        <v>41143</v>
      </c>
      <c r="H304" s="20" t="s">
        <v>73</v>
      </c>
      <c r="I304" s="20">
        <v>7</v>
      </c>
    </row>
    <row r="305" spans="1:9">
      <c r="A305" s="19">
        <v>41159</v>
      </c>
      <c r="B305" s="20">
        <v>2012</v>
      </c>
      <c r="C305" s="20" t="s">
        <v>13</v>
      </c>
      <c r="D305" s="20" t="s">
        <v>25</v>
      </c>
      <c r="E305" s="20">
        <v>1.8</v>
      </c>
      <c r="F305" s="20" t="s">
        <v>46</v>
      </c>
      <c r="G305" s="19">
        <v>41143</v>
      </c>
      <c r="H305" s="20" t="s">
        <v>73</v>
      </c>
      <c r="I305" s="20">
        <v>7</v>
      </c>
    </row>
    <row r="306" spans="1:9">
      <c r="A306" s="19">
        <v>41159</v>
      </c>
      <c r="B306" s="20">
        <v>2012</v>
      </c>
      <c r="C306" s="20">
        <v>3</v>
      </c>
      <c r="D306" s="20" t="s">
        <v>25</v>
      </c>
      <c r="E306" s="20">
        <v>5.4</v>
      </c>
      <c r="F306" s="20" t="s">
        <v>46</v>
      </c>
      <c r="G306" s="19">
        <v>41143</v>
      </c>
      <c r="H306" s="20" t="s">
        <v>73</v>
      </c>
      <c r="I306" s="20">
        <v>7</v>
      </c>
    </row>
    <row r="307" spans="1:9">
      <c r="A307" s="19">
        <v>41160</v>
      </c>
      <c r="B307" s="20">
        <v>2012</v>
      </c>
      <c r="C307" s="20">
        <v>3</v>
      </c>
      <c r="D307" s="20" t="s">
        <v>25</v>
      </c>
      <c r="E307" s="20">
        <v>4.5</v>
      </c>
      <c r="F307" s="20" t="s">
        <v>46</v>
      </c>
      <c r="G307" s="19">
        <v>41143</v>
      </c>
      <c r="H307" s="20" t="s">
        <v>73</v>
      </c>
      <c r="I307" s="20">
        <v>7</v>
      </c>
    </row>
    <row r="308" spans="1:9">
      <c r="A308" s="19">
        <v>41162</v>
      </c>
      <c r="B308" s="20">
        <v>2012</v>
      </c>
      <c r="C308" s="20">
        <v>3</v>
      </c>
      <c r="D308" s="20" t="s">
        <v>25</v>
      </c>
      <c r="E308" s="20">
        <v>11.7</v>
      </c>
      <c r="F308" s="20" t="s">
        <v>46</v>
      </c>
      <c r="G308" s="19">
        <v>41143</v>
      </c>
      <c r="H308" s="20" t="s">
        <v>73</v>
      </c>
      <c r="I308" s="20">
        <v>7</v>
      </c>
    </row>
    <row r="309" spans="1:9">
      <c r="A309" s="19">
        <v>41163</v>
      </c>
      <c r="B309" s="20">
        <v>2012</v>
      </c>
      <c r="C309" s="20">
        <v>3</v>
      </c>
      <c r="D309" s="20" t="s">
        <v>25</v>
      </c>
      <c r="E309" s="20">
        <v>15.3</v>
      </c>
      <c r="F309" s="20" t="s">
        <v>46</v>
      </c>
      <c r="G309" s="19">
        <v>41143</v>
      </c>
      <c r="H309" s="20" t="s">
        <v>73</v>
      </c>
      <c r="I309" s="20">
        <v>7</v>
      </c>
    </row>
    <row r="310" spans="1:9">
      <c r="A310" s="19">
        <v>41164</v>
      </c>
      <c r="B310" s="20">
        <v>2012</v>
      </c>
      <c r="C310" s="20">
        <v>3</v>
      </c>
      <c r="D310" s="20" t="s">
        <v>25</v>
      </c>
      <c r="E310" s="20">
        <v>12</v>
      </c>
      <c r="F310" s="20" t="s">
        <v>46</v>
      </c>
      <c r="G310" s="19">
        <v>41143</v>
      </c>
      <c r="H310" s="20" t="s">
        <v>73</v>
      </c>
      <c r="I310" s="20">
        <v>7</v>
      </c>
    </row>
    <row r="311" spans="1:9">
      <c r="A311" s="19">
        <v>41165</v>
      </c>
      <c r="B311" s="20">
        <v>2012</v>
      </c>
      <c r="C311" s="20" t="s">
        <v>74</v>
      </c>
      <c r="D311" s="20" t="s">
        <v>25</v>
      </c>
      <c r="E311" s="20">
        <v>8.4</v>
      </c>
      <c r="F311" s="20" t="s">
        <v>46</v>
      </c>
      <c r="G311" s="19">
        <v>41143</v>
      </c>
      <c r="H311" s="20" t="s">
        <v>73</v>
      </c>
      <c r="I311" s="20">
        <v>7</v>
      </c>
    </row>
    <row r="312" spans="1:9">
      <c r="A312" s="19">
        <v>41165</v>
      </c>
      <c r="B312" s="20">
        <v>2012</v>
      </c>
      <c r="C312" s="20" t="s">
        <v>74</v>
      </c>
      <c r="D312" s="20" t="s">
        <v>31</v>
      </c>
      <c r="E312" s="20">
        <v>3</v>
      </c>
      <c r="F312" s="20" t="s">
        <v>32</v>
      </c>
      <c r="G312" s="19">
        <v>41143</v>
      </c>
      <c r="H312" s="20" t="s">
        <v>73</v>
      </c>
      <c r="I312" s="20">
        <v>7</v>
      </c>
    </row>
    <row r="313" spans="1:9">
      <c r="A313" s="19">
        <v>41167</v>
      </c>
      <c r="B313" s="20">
        <v>2012</v>
      </c>
      <c r="C313" s="20">
        <v>3</v>
      </c>
      <c r="D313" s="20" t="s">
        <v>25</v>
      </c>
      <c r="E313" s="20">
        <v>2.4</v>
      </c>
      <c r="F313" s="20" t="s">
        <v>46</v>
      </c>
      <c r="G313" s="19">
        <v>41143</v>
      </c>
      <c r="H313" s="20" t="s">
        <v>73</v>
      </c>
      <c r="I313" s="20">
        <v>7</v>
      </c>
    </row>
    <row r="314" spans="1:9">
      <c r="A314" s="19">
        <v>41169</v>
      </c>
      <c r="B314" s="20">
        <v>2012</v>
      </c>
      <c r="C314" s="20">
        <v>3</v>
      </c>
      <c r="D314" s="20" t="s">
        <v>25</v>
      </c>
      <c r="E314" s="20">
        <v>6</v>
      </c>
      <c r="F314" s="20" t="s">
        <v>46</v>
      </c>
      <c r="G314" s="19">
        <v>41143</v>
      </c>
      <c r="H314" s="20" t="s">
        <v>73</v>
      </c>
      <c r="I314" s="20">
        <v>7</v>
      </c>
    </row>
    <row r="315" spans="1:9">
      <c r="A315" s="19">
        <v>41170</v>
      </c>
      <c r="B315" s="20">
        <v>2012</v>
      </c>
      <c r="C315" s="20">
        <v>3</v>
      </c>
      <c r="D315" s="20" t="s">
        <v>25</v>
      </c>
      <c r="E315" s="20">
        <v>9.6</v>
      </c>
      <c r="F315" s="20" t="s">
        <v>46</v>
      </c>
      <c r="G315" s="19">
        <v>41143</v>
      </c>
      <c r="H315" s="20" t="s">
        <v>73</v>
      </c>
      <c r="I315" s="20">
        <v>7</v>
      </c>
    </row>
    <row r="316" spans="1:9">
      <c r="A316" s="19">
        <v>41171</v>
      </c>
      <c r="B316" s="20">
        <v>2012</v>
      </c>
      <c r="C316" s="20">
        <v>3</v>
      </c>
      <c r="D316" s="20" t="s">
        <v>25</v>
      </c>
      <c r="E316" s="20">
        <v>10.8</v>
      </c>
      <c r="F316" s="20" t="s">
        <v>46</v>
      </c>
      <c r="G316" s="19">
        <v>41143</v>
      </c>
      <c r="H316" s="20" t="s">
        <v>73</v>
      </c>
      <c r="I316" s="20">
        <v>7</v>
      </c>
    </row>
    <row r="317" spans="1:9">
      <c r="A317" s="19">
        <v>41172</v>
      </c>
      <c r="B317" s="20">
        <v>2012</v>
      </c>
      <c r="C317" s="20" t="s">
        <v>74</v>
      </c>
      <c r="D317" s="20" t="s">
        <v>25</v>
      </c>
      <c r="E317" s="20">
        <v>9.6</v>
      </c>
      <c r="F317" s="20" t="s">
        <v>46</v>
      </c>
      <c r="G317" s="19">
        <v>41143</v>
      </c>
      <c r="H317" s="20" t="s">
        <v>73</v>
      </c>
      <c r="I317" s="20">
        <v>7</v>
      </c>
    </row>
    <row r="318" spans="1:9">
      <c r="A318" s="19">
        <v>41173</v>
      </c>
      <c r="B318" s="20">
        <v>2012</v>
      </c>
      <c r="C318" s="20" t="s">
        <v>13</v>
      </c>
      <c r="D318" s="20" t="s">
        <v>25</v>
      </c>
      <c r="E318" s="20">
        <v>9</v>
      </c>
      <c r="F318" s="20" t="s">
        <v>46</v>
      </c>
      <c r="G318" s="19">
        <v>41143</v>
      </c>
      <c r="H318" s="20" t="s">
        <v>73</v>
      </c>
      <c r="I318" s="20">
        <v>7</v>
      </c>
    </row>
    <row r="319" spans="1:9">
      <c r="A319" s="19">
        <v>41173</v>
      </c>
      <c r="B319" s="20">
        <v>2012</v>
      </c>
      <c r="C319" s="20" t="s">
        <v>16</v>
      </c>
      <c r="D319" s="20" t="s">
        <v>28</v>
      </c>
      <c r="E319" s="20">
        <v>4.8</v>
      </c>
      <c r="F319" s="20" t="s">
        <v>46</v>
      </c>
      <c r="G319" s="19">
        <v>41152</v>
      </c>
      <c r="H319" s="20" t="s">
        <v>73</v>
      </c>
      <c r="I319" s="20">
        <v>7</v>
      </c>
    </row>
    <row r="320" spans="1:9">
      <c r="A320" s="19">
        <v>41174</v>
      </c>
      <c r="B320" s="20">
        <v>2012</v>
      </c>
      <c r="C320" s="20">
        <v>5</v>
      </c>
      <c r="D320" s="20" t="s">
        <v>28</v>
      </c>
      <c r="E320" s="20">
        <v>6.9</v>
      </c>
      <c r="F320" s="20" t="s">
        <v>46</v>
      </c>
      <c r="G320" s="19">
        <v>41160</v>
      </c>
      <c r="H320" s="20" t="s">
        <v>73</v>
      </c>
      <c r="I320" s="20">
        <v>7</v>
      </c>
    </row>
    <row r="321" spans="1:9">
      <c r="A321" s="19">
        <v>41174</v>
      </c>
      <c r="B321" s="20">
        <v>2012</v>
      </c>
      <c r="C321" s="20" t="s">
        <v>75</v>
      </c>
      <c r="D321" s="20" t="s">
        <v>31</v>
      </c>
      <c r="E321" s="20">
        <v>3.3</v>
      </c>
      <c r="F321" s="20" t="s">
        <v>32</v>
      </c>
      <c r="G321" s="19">
        <v>41160</v>
      </c>
      <c r="H321" s="20" t="s">
        <v>73</v>
      </c>
      <c r="I321" s="20">
        <v>7</v>
      </c>
    </row>
    <row r="322" spans="1:9">
      <c r="A322" s="19">
        <v>41176</v>
      </c>
      <c r="B322" s="20">
        <v>2012</v>
      </c>
      <c r="C322" s="20" t="s">
        <v>16</v>
      </c>
      <c r="D322" s="20" t="s">
        <v>28</v>
      </c>
      <c r="E322" s="20">
        <v>4.8</v>
      </c>
      <c r="F322" s="20" t="s">
        <v>46</v>
      </c>
      <c r="G322" s="19">
        <v>41152</v>
      </c>
      <c r="H322" s="20" t="s">
        <v>73</v>
      </c>
      <c r="I322" s="20">
        <v>7</v>
      </c>
    </row>
    <row r="323" spans="1:9">
      <c r="A323" s="19">
        <v>41177</v>
      </c>
      <c r="B323" s="20">
        <v>2012</v>
      </c>
      <c r="C323" s="20" t="s">
        <v>16</v>
      </c>
      <c r="D323" s="20" t="s">
        <v>28</v>
      </c>
      <c r="E323" s="20">
        <v>17.100000000000001</v>
      </c>
      <c r="F323" s="20" t="s">
        <v>46</v>
      </c>
      <c r="G323" s="19">
        <v>41152</v>
      </c>
      <c r="H323" s="20" t="s">
        <v>73</v>
      </c>
      <c r="I323" s="20">
        <v>7</v>
      </c>
    </row>
    <row r="324" spans="1:9">
      <c r="A324" s="19">
        <v>41178</v>
      </c>
      <c r="B324" s="20">
        <v>2012</v>
      </c>
      <c r="C324" s="20" t="s">
        <v>16</v>
      </c>
      <c r="D324" s="20" t="s">
        <v>28</v>
      </c>
      <c r="E324" s="20">
        <v>12</v>
      </c>
      <c r="F324" s="20" t="s">
        <v>46</v>
      </c>
      <c r="G324" s="19">
        <v>41152</v>
      </c>
      <c r="H324" s="20" t="s">
        <v>73</v>
      </c>
      <c r="I324" s="20">
        <v>7</v>
      </c>
    </row>
    <row r="325" spans="1:9">
      <c r="A325" s="19">
        <v>41179</v>
      </c>
      <c r="B325" s="20">
        <v>2012</v>
      </c>
      <c r="C325" s="20" t="s">
        <v>16</v>
      </c>
      <c r="D325" s="20" t="s">
        <v>28</v>
      </c>
      <c r="E325" s="20">
        <v>10.5</v>
      </c>
      <c r="F325" s="20" t="s">
        <v>46</v>
      </c>
      <c r="G325" s="19">
        <v>41152</v>
      </c>
      <c r="H325" s="20" t="s">
        <v>73</v>
      </c>
      <c r="I325" s="20">
        <v>7</v>
      </c>
    </row>
    <row r="326" spans="1:9">
      <c r="A326" s="19">
        <v>41180</v>
      </c>
      <c r="B326" s="20">
        <v>2012</v>
      </c>
      <c r="C326" s="20" t="s">
        <v>16</v>
      </c>
      <c r="D326" s="20" t="s">
        <v>28</v>
      </c>
      <c r="E326" s="20">
        <v>4.8</v>
      </c>
      <c r="F326" s="20" t="s">
        <v>46</v>
      </c>
      <c r="G326" s="19">
        <v>41152</v>
      </c>
      <c r="H326" s="20" t="s">
        <v>73</v>
      </c>
      <c r="I326" s="20">
        <v>7</v>
      </c>
    </row>
    <row r="327" spans="1:9">
      <c r="A327" s="19">
        <v>41180</v>
      </c>
      <c r="B327" s="20">
        <v>2012</v>
      </c>
      <c r="C327" s="20" t="s">
        <v>13</v>
      </c>
      <c r="D327" s="20" t="s">
        <v>25</v>
      </c>
      <c r="E327" s="20">
        <v>4.5</v>
      </c>
      <c r="F327" s="20" t="s">
        <v>46</v>
      </c>
      <c r="G327" s="19">
        <v>41143</v>
      </c>
      <c r="H327" s="20" t="s">
        <v>73</v>
      </c>
      <c r="I327" s="20">
        <v>7</v>
      </c>
    </row>
    <row r="328" spans="1:9">
      <c r="A328" s="19">
        <v>41181</v>
      </c>
      <c r="B328" s="20">
        <v>2012</v>
      </c>
      <c r="C328" s="20">
        <v>4</v>
      </c>
      <c r="D328" s="20" t="s">
        <v>52</v>
      </c>
      <c r="E328" s="20">
        <v>3.9</v>
      </c>
      <c r="F328" s="20" t="s">
        <v>46</v>
      </c>
      <c r="G328" s="19">
        <v>41160</v>
      </c>
      <c r="H328" s="20" t="s">
        <v>73</v>
      </c>
      <c r="I328" s="20">
        <v>7</v>
      </c>
    </row>
    <row r="329" spans="1:9">
      <c r="A329" s="19">
        <v>41181</v>
      </c>
      <c r="B329" s="20">
        <v>2012</v>
      </c>
      <c r="C329" s="20" t="s">
        <v>76</v>
      </c>
      <c r="D329" s="20" t="s">
        <v>31</v>
      </c>
      <c r="E329" s="20">
        <v>3</v>
      </c>
      <c r="F329" s="20" t="s">
        <v>32</v>
      </c>
      <c r="G329" s="19">
        <v>41160</v>
      </c>
      <c r="H329" s="20" t="s">
        <v>73</v>
      </c>
      <c r="I329" s="20">
        <v>7</v>
      </c>
    </row>
    <row r="330" spans="1:9">
      <c r="A330" s="19">
        <v>41183</v>
      </c>
      <c r="B330" s="20">
        <v>2012</v>
      </c>
      <c r="C330" s="20">
        <v>4</v>
      </c>
      <c r="D330" s="20" t="s">
        <v>52</v>
      </c>
      <c r="E330" s="20">
        <v>5.0999999999999996</v>
      </c>
      <c r="F330" s="20" t="s">
        <v>46</v>
      </c>
      <c r="G330" s="19">
        <v>41160</v>
      </c>
      <c r="H330" s="20" t="s">
        <v>73</v>
      </c>
      <c r="I330" s="20">
        <v>7</v>
      </c>
    </row>
    <row r="331" spans="1:9">
      <c r="A331" s="19">
        <v>41183</v>
      </c>
      <c r="B331" s="20">
        <v>2012</v>
      </c>
      <c r="C331" s="20">
        <v>3</v>
      </c>
      <c r="D331" s="20" t="s">
        <v>25</v>
      </c>
      <c r="E331" s="20">
        <v>4.8</v>
      </c>
      <c r="F331" s="20" t="s">
        <v>32</v>
      </c>
      <c r="G331" s="19">
        <v>41143</v>
      </c>
      <c r="H331" s="20" t="s">
        <v>73</v>
      </c>
      <c r="I331" s="20">
        <v>7</v>
      </c>
    </row>
    <row r="332" spans="1:9">
      <c r="A332" s="19">
        <v>41184</v>
      </c>
      <c r="B332" s="20">
        <v>2012</v>
      </c>
      <c r="C332" s="20">
        <v>4</v>
      </c>
      <c r="D332" s="20" t="s">
        <v>52</v>
      </c>
      <c r="E332" s="20">
        <v>6.3</v>
      </c>
      <c r="F332" s="20" t="s">
        <v>46</v>
      </c>
      <c r="G332" s="19">
        <v>41160</v>
      </c>
      <c r="H332" s="20" t="s">
        <v>73</v>
      </c>
      <c r="I332" s="20">
        <v>7</v>
      </c>
    </row>
    <row r="333" spans="1:9">
      <c r="A333" s="19">
        <v>41184</v>
      </c>
      <c r="B333" s="20">
        <v>2012</v>
      </c>
      <c r="C333" s="20">
        <v>3</v>
      </c>
      <c r="D333" s="20" t="s">
        <v>25</v>
      </c>
      <c r="E333" s="20">
        <v>3.6</v>
      </c>
      <c r="F333" s="20" t="s">
        <v>32</v>
      </c>
      <c r="G333" s="19">
        <v>41143</v>
      </c>
      <c r="H333" s="20" t="s">
        <v>73</v>
      </c>
      <c r="I333" s="20">
        <v>7</v>
      </c>
    </row>
    <row r="334" spans="1:9">
      <c r="A334" s="19">
        <v>41185</v>
      </c>
      <c r="B334" s="20">
        <v>2012</v>
      </c>
      <c r="C334" s="20">
        <v>4</v>
      </c>
      <c r="D334" s="20" t="s">
        <v>52</v>
      </c>
      <c r="E334" s="20">
        <v>6.6</v>
      </c>
      <c r="F334" s="20" t="s">
        <v>46</v>
      </c>
      <c r="G334" s="19">
        <v>41160</v>
      </c>
      <c r="H334" s="20" t="s">
        <v>73</v>
      </c>
      <c r="I334" s="20">
        <v>7</v>
      </c>
    </row>
    <row r="335" spans="1:9">
      <c r="A335" s="19">
        <v>41185</v>
      </c>
      <c r="B335" s="20">
        <v>2012</v>
      </c>
      <c r="C335" s="20" t="s">
        <v>51</v>
      </c>
      <c r="D335" s="20" t="s">
        <v>77</v>
      </c>
      <c r="E335" s="20">
        <v>1.2</v>
      </c>
      <c r="F335" s="20" t="s">
        <v>46</v>
      </c>
      <c r="G335" s="19">
        <v>41160</v>
      </c>
      <c r="H335" s="20" t="s">
        <v>73</v>
      </c>
      <c r="I335" s="20">
        <v>7</v>
      </c>
    </row>
    <row r="336" spans="1:9">
      <c r="A336" s="19">
        <v>41185</v>
      </c>
      <c r="B336" s="20">
        <v>2012</v>
      </c>
      <c r="C336" s="20">
        <v>3</v>
      </c>
      <c r="D336" s="20" t="s">
        <v>25</v>
      </c>
      <c r="E336" s="20">
        <v>4.5</v>
      </c>
      <c r="F336" s="20" t="s">
        <v>32</v>
      </c>
      <c r="G336" s="19">
        <v>41143</v>
      </c>
      <c r="H336" s="20" t="s">
        <v>73</v>
      </c>
      <c r="I336" s="20">
        <v>7</v>
      </c>
    </row>
    <row r="337" spans="1:9">
      <c r="A337" s="19">
        <v>41186</v>
      </c>
      <c r="B337" s="20">
        <v>2012</v>
      </c>
      <c r="C337" s="20" t="s">
        <v>51</v>
      </c>
      <c r="D337" s="20" t="s">
        <v>77</v>
      </c>
      <c r="E337" s="20">
        <v>3.6</v>
      </c>
      <c r="F337" s="20" t="s">
        <v>46</v>
      </c>
      <c r="G337" s="19">
        <v>41160</v>
      </c>
      <c r="H337" s="20" t="s">
        <v>73</v>
      </c>
      <c r="I337" s="20">
        <v>7</v>
      </c>
    </row>
    <row r="338" spans="1:9">
      <c r="A338" s="19">
        <v>41187</v>
      </c>
      <c r="B338" s="20">
        <v>2012</v>
      </c>
      <c r="C338" s="20">
        <v>4</v>
      </c>
      <c r="D338" s="20" t="s">
        <v>52</v>
      </c>
      <c r="E338" s="20">
        <v>1.8</v>
      </c>
      <c r="F338" s="20" t="s">
        <v>46</v>
      </c>
      <c r="G338" s="19">
        <v>41160</v>
      </c>
      <c r="H338" s="20" t="s">
        <v>73</v>
      </c>
      <c r="I338" s="20">
        <v>7</v>
      </c>
    </row>
    <row r="339" spans="1:9">
      <c r="A339" s="19">
        <v>41187</v>
      </c>
      <c r="B339" s="20">
        <v>2012</v>
      </c>
      <c r="C339" s="20" t="s">
        <v>17</v>
      </c>
      <c r="D339" s="20" t="s">
        <v>35</v>
      </c>
      <c r="E339" s="20">
        <v>5.0999999999999996</v>
      </c>
      <c r="F339" s="20" t="s">
        <v>46</v>
      </c>
      <c r="G339" s="19">
        <v>41160</v>
      </c>
      <c r="H339" s="20" t="s">
        <v>73</v>
      </c>
      <c r="I339" s="20">
        <v>7</v>
      </c>
    </row>
    <row r="340" spans="1:9">
      <c r="A340" s="19">
        <v>41188</v>
      </c>
      <c r="B340" s="20">
        <v>2012</v>
      </c>
      <c r="C340" s="20" t="s">
        <v>51</v>
      </c>
      <c r="D340" s="20" t="s">
        <v>77</v>
      </c>
      <c r="E340" s="20">
        <v>2.4</v>
      </c>
      <c r="F340" s="20" t="s">
        <v>46</v>
      </c>
      <c r="G340" s="19">
        <v>41160</v>
      </c>
      <c r="H340" s="20" t="s">
        <v>73</v>
      </c>
      <c r="I340" s="20">
        <v>7</v>
      </c>
    </row>
    <row r="341" spans="1:9">
      <c r="A341" s="19">
        <v>41188</v>
      </c>
      <c r="B341" s="20">
        <v>2012</v>
      </c>
      <c r="C341" s="20" t="s">
        <v>17</v>
      </c>
      <c r="D341" s="20" t="s">
        <v>35</v>
      </c>
      <c r="E341" s="20">
        <v>0.6</v>
      </c>
      <c r="F341" s="20" t="s">
        <v>46</v>
      </c>
      <c r="G341" s="19">
        <v>41160</v>
      </c>
      <c r="H341" s="20" t="s">
        <v>73</v>
      </c>
      <c r="I341" s="20">
        <v>7</v>
      </c>
    </row>
    <row r="342" spans="1:9">
      <c r="A342" s="19">
        <v>41188</v>
      </c>
      <c r="B342" s="20">
        <v>2012</v>
      </c>
      <c r="C342" s="20" t="s">
        <v>78</v>
      </c>
      <c r="D342" s="20" t="s">
        <v>31</v>
      </c>
      <c r="E342" s="20">
        <v>2.1</v>
      </c>
      <c r="F342" s="20" t="s">
        <v>32</v>
      </c>
      <c r="G342" s="19">
        <v>41160</v>
      </c>
      <c r="H342" s="20" t="s">
        <v>73</v>
      </c>
      <c r="I342" s="20">
        <v>7</v>
      </c>
    </row>
    <row r="343" spans="1:9">
      <c r="A343" s="19">
        <v>41189</v>
      </c>
      <c r="B343" s="20">
        <v>2012</v>
      </c>
      <c r="C343" s="20" t="s">
        <v>51</v>
      </c>
      <c r="D343" s="20" t="s">
        <v>77</v>
      </c>
      <c r="E343" s="20">
        <v>1.2</v>
      </c>
      <c r="F343" s="20" t="s">
        <v>46</v>
      </c>
      <c r="G343" s="19">
        <v>41160</v>
      </c>
      <c r="H343" s="20" t="s">
        <v>73</v>
      </c>
      <c r="I343" s="20">
        <v>7</v>
      </c>
    </row>
    <row r="344" spans="1:9">
      <c r="A344" s="19">
        <v>41189</v>
      </c>
      <c r="B344" s="20">
        <v>2012</v>
      </c>
      <c r="C344" s="20" t="s">
        <v>79</v>
      </c>
      <c r="D344" s="20" t="s">
        <v>28</v>
      </c>
      <c r="E344" s="20">
        <v>0.6</v>
      </c>
      <c r="F344" s="20" t="s">
        <v>32</v>
      </c>
      <c r="G344" s="19">
        <v>41152</v>
      </c>
      <c r="H344" s="20" t="s">
        <v>73</v>
      </c>
      <c r="I344" s="20">
        <v>7</v>
      </c>
    </row>
    <row r="345" spans="1:9">
      <c r="A345" s="19">
        <v>41190</v>
      </c>
      <c r="B345" s="20">
        <v>2012</v>
      </c>
      <c r="C345" s="20" t="s">
        <v>17</v>
      </c>
      <c r="D345" s="20" t="s">
        <v>35</v>
      </c>
      <c r="E345" s="20">
        <v>8.4</v>
      </c>
      <c r="F345" s="20" t="s">
        <v>46</v>
      </c>
      <c r="G345" s="19">
        <v>41160</v>
      </c>
      <c r="H345" s="20" t="s">
        <v>73</v>
      </c>
      <c r="I345" s="20">
        <v>7</v>
      </c>
    </row>
    <row r="346" spans="1:9">
      <c r="A346" s="19">
        <v>41191</v>
      </c>
      <c r="B346" s="20">
        <v>2012</v>
      </c>
      <c r="C346" s="20" t="s">
        <v>80</v>
      </c>
      <c r="D346" s="20" t="s">
        <v>35</v>
      </c>
      <c r="E346" s="20">
        <v>8.4</v>
      </c>
      <c r="F346" s="20" t="s">
        <v>46</v>
      </c>
      <c r="G346" s="19">
        <v>41160</v>
      </c>
      <c r="H346" s="20" t="s">
        <v>73</v>
      </c>
      <c r="I346" s="20">
        <v>7</v>
      </c>
    </row>
    <row r="347" spans="1:9">
      <c r="A347" s="19">
        <v>41192</v>
      </c>
      <c r="B347" s="20">
        <v>2012</v>
      </c>
      <c r="C347" s="20">
        <v>5</v>
      </c>
      <c r="D347" s="20" t="s">
        <v>35</v>
      </c>
      <c r="E347" s="20">
        <v>10.199999999999999</v>
      </c>
      <c r="F347" s="20" t="s">
        <v>46</v>
      </c>
      <c r="G347" s="19">
        <v>41160</v>
      </c>
      <c r="H347" s="20" t="s">
        <v>73</v>
      </c>
      <c r="I347" s="20">
        <v>7</v>
      </c>
    </row>
    <row r="348" spans="1:9">
      <c r="A348" s="19">
        <v>41193</v>
      </c>
      <c r="B348" s="20">
        <v>2012</v>
      </c>
      <c r="C348" s="20" t="s">
        <v>81</v>
      </c>
      <c r="D348" s="20" t="s">
        <v>35</v>
      </c>
      <c r="E348" s="20">
        <v>9</v>
      </c>
      <c r="F348" s="20" t="s">
        <v>46</v>
      </c>
      <c r="G348" s="19">
        <v>41160</v>
      </c>
      <c r="H348" s="20" t="s">
        <v>73</v>
      </c>
      <c r="I348" s="20">
        <v>7</v>
      </c>
    </row>
    <row r="349" spans="1:9">
      <c r="A349" s="19">
        <v>41194</v>
      </c>
      <c r="B349" s="20">
        <v>2012</v>
      </c>
      <c r="C349" s="20" t="s">
        <v>17</v>
      </c>
      <c r="D349" s="20" t="s">
        <v>35</v>
      </c>
      <c r="E349" s="20">
        <v>3</v>
      </c>
      <c r="F349" s="20" t="s">
        <v>46</v>
      </c>
      <c r="G349" s="19">
        <v>41160</v>
      </c>
      <c r="H349" s="20" t="s">
        <v>73</v>
      </c>
      <c r="I349" s="20">
        <v>7</v>
      </c>
    </row>
    <row r="350" spans="1:9">
      <c r="A350" s="19">
        <v>41194</v>
      </c>
      <c r="B350" s="20">
        <v>2012</v>
      </c>
      <c r="C350" s="20" t="s">
        <v>82</v>
      </c>
      <c r="D350" s="20" t="s">
        <v>31</v>
      </c>
      <c r="E350" s="20">
        <v>2.7</v>
      </c>
      <c r="F350" s="20" t="s">
        <v>32</v>
      </c>
      <c r="G350" s="19">
        <v>41160</v>
      </c>
      <c r="H350" s="20" t="s">
        <v>73</v>
      </c>
      <c r="I350" s="20">
        <v>7</v>
      </c>
    </row>
    <row r="351" spans="1:9">
      <c r="A351" s="19">
        <v>41197</v>
      </c>
      <c r="B351" s="20">
        <v>2012</v>
      </c>
      <c r="C351" s="20">
        <v>4</v>
      </c>
      <c r="D351" s="20" t="s">
        <v>52</v>
      </c>
      <c r="E351" s="20">
        <v>7.2</v>
      </c>
      <c r="F351" s="20" t="s">
        <v>46</v>
      </c>
      <c r="G351" s="19">
        <v>41160</v>
      </c>
      <c r="H351" s="20" t="s">
        <v>73</v>
      </c>
      <c r="I351" s="20">
        <v>7</v>
      </c>
    </row>
    <row r="352" spans="1:9">
      <c r="A352" s="19">
        <v>41198</v>
      </c>
      <c r="B352" s="20">
        <v>2012</v>
      </c>
      <c r="C352" s="20">
        <v>4</v>
      </c>
      <c r="D352" s="20" t="s">
        <v>52</v>
      </c>
      <c r="E352" s="20">
        <v>12</v>
      </c>
      <c r="F352" s="20" t="s">
        <v>46</v>
      </c>
      <c r="G352" s="19">
        <v>41160</v>
      </c>
      <c r="H352" s="20" t="s">
        <v>73</v>
      </c>
      <c r="I352" s="20">
        <v>7</v>
      </c>
    </row>
    <row r="353" spans="1:9">
      <c r="A353" s="19">
        <v>41198</v>
      </c>
      <c r="B353" s="20">
        <v>2012</v>
      </c>
      <c r="C353" s="20" t="s">
        <v>51</v>
      </c>
      <c r="D353" s="20" t="s">
        <v>77</v>
      </c>
      <c r="E353" s="20">
        <v>1.2</v>
      </c>
      <c r="F353" s="20" t="s">
        <v>46</v>
      </c>
      <c r="G353" s="19">
        <v>41160</v>
      </c>
      <c r="H353" s="20" t="s">
        <v>73</v>
      </c>
      <c r="I353" s="20">
        <v>7</v>
      </c>
    </row>
    <row r="354" spans="1:9">
      <c r="A354" s="19">
        <v>41199</v>
      </c>
      <c r="B354" s="20">
        <v>2012</v>
      </c>
      <c r="C354" s="20" t="s">
        <v>51</v>
      </c>
      <c r="D354" s="20" t="s">
        <v>77</v>
      </c>
      <c r="E354" s="20">
        <v>3.9</v>
      </c>
      <c r="F354" s="20" t="s">
        <v>46</v>
      </c>
      <c r="G354" s="19">
        <v>41160</v>
      </c>
      <c r="H354" s="20" t="s">
        <v>73</v>
      </c>
      <c r="I354" s="20">
        <v>7</v>
      </c>
    </row>
    <row r="355" spans="1:9">
      <c r="A355" s="19">
        <v>41199</v>
      </c>
      <c r="B355" s="20">
        <v>2012</v>
      </c>
      <c r="C355" s="20">
        <v>4</v>
      </c>
      <c r="D355" s="20" t="s">
        <v>52</v>
      </c>
      <c r="E355" s="20">
        <v>2.4</v>
      </c>
      <c r="F355" s="20" t="s">
        <v>46</v>
      </c>
      <c r="G355" s="19">
        <v>41160</v>
      </c>
      <c r="H355" s="20" t="s">
        <v>73</v>
      </c>
      <c r="I355" s="20">
        <v>7</v>
      </c>
    </row>
    <row r="356" spans="1:9">
      <c r="A356" s="19">
        <v>41200</v>
      </c>
      <c r="B356" s="20">
        <v>2012</v>
      </c>
      <c r="C356" s="20" t="s">
        <v>17</v>
      </c>
      <c r="D356" s="20" t="s">
        <v>35</v>
      </c>
      <c r="E356" s="20">
        <v>9.9</v>
      </c>
      <c r="F356" s="20" t="s">
        <v>46</v>
      </c>
      <c r="G356" s="19">
        <v>41160</v>
      </c>
      <c r="H356" s="20" t="s">
        <v>73</v>
      </c>
      <c r="I356" s="20">
        <v>7</v>
      </c>
    </row>
    <row r="357" spans="1:9">
      <c r="A357" s="19">
        <v>41201</v>
      </c>
      <c r="B357" s="20">
        <v>2012</v>
      </c>
      <c r="C357" s="20">
        <v>5</v>
      </c>
      <c r="D357" s="20" t="s">
        <v>35</v>
      </c>
      <c r="E357" s="20">
        <v>8.6999999999999993</v>
      </c>
      <c r="F357" s="20" t="s">
        <v>46</v>
      </c>
      <c r="G357" s="19">
        <v>41160</v>
      </c>
      <c r="H357" s="20" t="s">
        <v>73</v>
      </c>
      <c r="I357" s="20">
        <v>7</v>
      </c>
    </row>
    <row r="358" spans="1:9">
      <c r="A358" s="19">
        <v>41202</v>
      </c>
      <c r="B358" s="20">
        <v>2012</v>
      </c>
      <c r="C358" s="20">
        <v>5</v>
      </c>
      <c r="D358" s="20" t="s">
        <v>35</v>
      </c>
      <c r="E358" s="20">
        <v>1.5</v>
      </c>
      <c r="F358" s="20" t="s">
        <v>46</v>
      </c>
      <c r="G358" s="19">
        <v>41160</v>
      </c>
      <c r="H358" s="20" t="s">
        <v>73</v>
      </c>
      <c r="I358" s="20">
        <v>7</v>
      </c>
    </row>
    <row r="359" spans="1:9">
      <c r="A359" s="19">
        <v>41202</v>
      </c>
      <c r="B359" s="20">
        <v>2012</v>
      </c>
      <c r="C359" s="20">
        <v>4</v>
      </c>
      <c r="D359" s="20" t="s">
        <v>52</v>
      </c>
      <c r="E359" s="20">
        <v>1.8</v>
      </c>
      <c r="F359" s="20" t="s">
        <v>46</v>
      </c>
      <c r="G359" s="19">
        <v>41160</v>
      </c>
      <c r="H359" s="20" t="s">
        <v>73</v>
      </c>
      <c r="I359" s="20">
        <v>7</v>
      </c>
    </row>
    <row r="360" spans="1:9">
      <c r="A360" s="19">
        <v>41202</v>
      </c>
      <c r="B360" s="20">
        <v>2012</v>
      </c>
      <c r="C360" s="20" t="s">
        <v>83</v>
      </c>
      <c r="D360" s="20" t="s">
        <v>31</v>
      </c>
      <c r="E360" s="20">
        <v>4.8</v>
      </c>
      <c r="F360" s="20" t="s">
        <v>32</v>
      </c>
      <c r="G360" s="19">
        <v>41160</v>
      </c>
      <c r="H360" s="20" t="s">
        <v>73</v>
      </c>
      <c r="I360" s="20">
        <v>7</v>
      </c>
    </row>
    <row r="361" spans="1:9">
      <c r="A361" s="19">
        <v>41204</v>
      </c>
      <c r="B361" s="20">
        <v>2012</v>
      </c>
      <c r="C361" s="20" t="s">
        <v>17</v>
      </c>
      <c r="D361" s="20" t="s">
        <v>35</v>
      </c>
      <c r="E361" s="20">
        <v>1.5</v>
      </c>
      <c r="F361" s="20" t="s">
        <v>46</v>
      </c>
      <c r="G361" s="19">
        <v>41160</v>
      </c>
      <c r="H361" s="20" t="s">
        <v>73</v>
      </c>
      <c r="I361" s="20">
        <v>7</v>
      </c>
    </row>
    <row r="362" spans="1:9">
      <c r="A362" s="19">
        <v>41205</v>
      </c>
      <c r="B362" s="20">
        <v>2012</v>
      </c>
      <c r="C362" s="20">
        <v>4</v>
      </c>
      <c r="D362" s="20" t="s">
        <v>52</v>
      </c>
      <c r="E362" s="20">
        <v>11.1</v>
      </c>
      <c r="F362" s="20" t="s">
        <v>46</v>
      </c>
      <c r="G362" s="19">
        <v>41160</v>
      </c>
      <c r="H362" s="20" t="s">
        <v>73</v>
      </c>
      <c r="I362" s="20">
        <v>7</v>
      </c>
    </row>
    <row r="363" spans="1:9">
      <c r="A363" s="19">
        <v>41206</v>
      </c>
      <c r="B363" s="20">
        <v>2012</v>
      </c>
      <c r="C363" s="20">
        <v>4</v>
      </c>
      <c r="D363" s="20" t="s">
        <v>52</v>
      </c>
      <c r="E363" s="20">
        <v>14.4</v>
      </c>
      <c r="F363" s="20" t="s">
        <v>46</v>
      </c>
      <c r="G363" s="19">
        <v>41160</v>
      </c>
      <c r="H363" s="20" t="s">
        <v>73</v>
      </c>
      <c r="I363" s="20">
        <v>7</v>
      </c>
    </row>
    <row r="364" spans="1:9">
      <c r="A364" s="19">
        <v>41207</v>
      </c>
      <c r="B364" s="20">
        <v>2012</v>
      </c>
      <c r="C364" s="20">
        <v>4</v>
      </c>
      <c r="D364" s="20" t="s">
        <v>52</v>
      </c>
      <c r="E364" s="20">
        <v>14.4</v>
      </c>
      <c r="F364" s="20" t="s">
        <v>46</v>
      </c>
      <c r="G364" s="19">
        <v>41160</v>
      </c>
      <c r="H364" s="20" t="s">
        <v>73</v>
      </c>
      <c r="I364" s="20">
        <v>7</v>
      </c>
    </row>
    <row r="365" spans="1:9">
      <c r="A365" s="19">
        <v>41207</v>
      </c>
      <c r="B365" s="20">
        <v>2012</v>
      </c>
      <c r="C365" s="20" t="s">
        <v>84</v>
      </c>
      <c r="D365" s="20" t="s">
        <v>31</v>
      </c>
      <c r="E365" s="20">
        <v>5.4</v>
      </c>
      <c r="F365" s="20" t="s">
        <v>32</v>
      </c>
      <c r="G365" s="19">
        <v>41160</v>
      </c>
      <c r="H365" s="20" t="s">
        <v>73</v>
      </c>
      <c r="I365" s="20">
        <v>7</v>
      </c>
    </row>
    <row r="366" spans="1:9">
      <c r="A366" s="19">
        <v>40767</v>
      </c>
      <c r="B366" s="20">
        <v>2011</v>
      </c>
      <c r="C366" s="20">
        <v>4</v>
      </c>
      <c r="D366" s="20" t="s">
        <v>85</v>
      </c>
      <c r="E366" s="20">
        <v>1</v>
      </c>
      <c r="F366" s="20" t="s">
        <v>32</v>
      </c>
      <c r="G366" s="19">
        <v>40745</v>
      </c>
      <c r="H366" s="20" t="s">
        <v>86</v>
      </c>
      <c r="I366" s="20">
        <v>21</v>
      </c>
    </row>
    <row r="367" spans="1:9">
      <c r="A367" s="19">
        <v>40778</v>
      </c>
      <c r="B367" s="20">
        <v>2011</v>
      </c>
      <c r="C367" s="20">
        <v>4</v>
      </c>
      <c r="D367" s="20" t="s">
        <v>85</v>
      </c>
      <c r="E367" s="20">
        <v>3.5</v>
      </c>
      <c r="F367" s="20" t="s">
        <v>32</v>
      </c>
      <c r="G367" s="19">
        <v>40778</v>
      </c>
      <c r="H367" s="20" t="s">
        <v>87</v>
      </c>
      <c r="I367" s="20">
        <v>7</v>
      </c>
    </row>
    <row r="368" spans="1:9">
      <c r="A368" s="19">
        <v>40778</v>
      </c>
      <c r="B368" s="20">
        <v>2011</v>
      </c>
      <c r="C368" s="20">
        <v>3</v>
      </c>
      <c r="D368" s="20" t="s">
        <v>25</v>
      </c>
      <c r="E368" s="20">
        <v>7.8</v>
      </c>
      <c r="F368" s="20" t="s">
        <v>46</v>
      </c>
      <c r="G368" s="19">
        <v>40770</v>
      </c>
      <c r="H368" s="20" t="s">
        <v>88</v>
      </c>
      <c r="I368" s="20">
        <v>7</v>
      </c>
    </row>
    <row r="369" spans="1:9">
      <c r="A369" s="19">
        <v>40778</v>
      </c>
      <c r="B369" s="20">
        <v>2011</v>
      </c>
      <c r="C369" s="20">
        <v>3</v>
      </c>
      <c r="D369" s="20" t="s">
        <v>31</v>
      </c>
      <c r="E369" s="20">
        <v>0.9</v>
      </c>
      <c r="F369" s="20" t="s">
        <v>32</v>
      </c>
      <c r="G369" s="19">
        <v>40770</v>
      </c>
      <c r="H369" s="20" t="s">
        <v>88</v>
      </c>
      <c r="I369" s="20">
        <v>7</v>
      </c>
    </row>
    <row r="370" spans="1:9">
      <c r="A370" s="19">
        <v>40779</v>
      </c>
      <c r="B370" s="20">
        <v>2011</v>
      </c>
      <c r="C370" s="20">
        <v>3</v>
      </c>
      <c r="D370" s="20" t="s">
        <v>25</v>
      </c>
      <c r="E370" s="20">
        <v>8.6999999999999993</v>
      </c>
      <c r="F370" s="20" t="s">
        <v>46</v>
      </c>
      <c r="G370" s="19">
        <v>40770</v>
      </c>
      <c r="H370" s="20" t="s">
        <v>88</v>
      </c>
      <c r="I370" s="20">
        <v>7</v>
      </c>
    </row>
    <row r="371" spans="1:9">
      <c r="A371" s="19">
        <v>40779</v>
      </c>
      <c r="B371" s="20">
        <v>2011</v>
      </c>
      <c r="C371" s="20">
        <v>3</v>
      </c>
      <c r="D371" s="20" t="s">
        <v>31</v>
      </c>
      <c r="E371" s="20">
        <v>0.6</v>
      </c>
      <c r="F371" s="20" t="s">
        <v>32</v>
      </c>
      <c r="G371" s="19">
        <v>40770</v>
      </c>
      <c r="H371" s="20" t="s">
        <v>88</v>
      </c>
      <c r="I371" s="20">
        <v>7</v>
      </c>
    </row>
    <row r="372" spans="1:9">
      <c r="A372" s="19">
        <v>40780</v>
      </c>
      <c r="B372" s="20">
        <v>2011</v>
      </c>
      <c r="C372" s="20">
        <v>3</v>
      </c>
      <c r="D372" s="20" t="s">
        <v>25</v>
      </c>
      <c r="E372" s="20">
        <v>2.4</v>
      </c>
      <c r="F372" s="20" t="s">
        <v>46</v>
      </c>
      <c r="G372" s="19">
        <v>40770</v>
      </c>
      <c r="H372" s="20" t="s">
        <v>88</v>
      </c>
      <c r="I372" s="20">
        <v>7</v>
      </c>
    </row>
    <row r="373" spans="1:9">
      <c r="A373" s="19">
        <v>40785</v>
      </c>
      <c r="B373" s="20">
        <v>2011</v>
      </c>
      <c r="C373" s="20" t="s">
        <v>13</v>
      </c>
      <c r="D373" s="20" t="s">
        <v>25</v>
      </c>
      <c r="E373" s="20">
        <v>5.7</v>
      </c>
      <c r="F373" s="20" t="s">
        <v>46</v>
      </c>
      <c r="G373" s="19">
        <v>40770</v>
      </c>
      <c r="H373" s="20" t="s">
        <v>88</v>
      </c>
      <c r="I373" s="20">
        <v>7</v>
      </c>
    </row>
    <row r="374" spans="1:9">
      <c r="A374" s="19">
        <v>40787</v>
      </c>
      <c r="B374" s="20">
        <v>2011</v>
      </c>
      <c r="C374" s="20" t="s">
        <v>74</v>
      </c>
      <c r="D374" s="20" t="s">
        <v>25</v>
      </c>
      <c r="E374" s="20">
        <v>10.199999999999999</v>
      </c>
      <c r="F374" s="20" t="s">
        <v>46</v>
      </c>
      <c r="G374" s="19">
        <v>40770</v>
      </c>
      <c r="H374" s="20" t="s">
        <v>88</v>
      </c>
      <c r="I374" s="20">
        <v>7</v>
      </c>
    </row>
    <row r="375" spans="1:9">
      <c r="A375" s="19">
        <v>40788</v>
      </c>
      <c r="B375" s="20">
        <v>2011</v>
      </c>
      <c r="C375" s="20" t="s">
        <v>74</v>
      </c>
      <c r="D375" s="20" t="s">
        <v>25</v>
      </c>
      <c r="E375" s="20">
        <v>10.5</v>
      </c>
      <c r="F375" s="20" t="s">
        <v>46</v>
      </c>
      <c r="G375" s="19">
        <v>40770</v>
      </c>
      <c r="H375" s="20" t="s">
        <v>88</v>
      </c>
      <c r="I375" s="20">
        <v>7</v>
      </c>
    </row>
    <row r="376" spans="1:9">
      <c r="A376" s="19">
        <v>40788</v>
      </c>
      <c r="B376" s="20">
        <v>2011</v>
      </c>
      <c r="C376" s="20" t="s">
        <v>74</v>
      </c>
      <c r="D376" s="20" t="s">
        <v>31</v>
      </c>
      <c r="E376" s="20">
        <v>0.6</v>
      </c>
      <c r="F376" s="20" t="s">
        <v>32</v>
      </c>
      <c r="G376" s="19">
        <v>40770</v>
      </c>
      <c r="H376" s="20" t="s">
        <v>88</v>
      </c>
      <c r="I376" s="20">
        <v>7</v>
      </c>
    </row>
    <row r="377" spans="1:9">
      <c r="A377" s="19">
        <v>40789</v>
      </c>
      <c r="B377" s="20">
        <v>2011</v>
      </c>
      <c r="C377" s="20">
        <v>3</v>
      </c>
      <c r="D377" s="20" t="s">
        <v>25</v>
      </c>
      <c r="E377" s="20">
        <v>2.4</v>
      </c>
      <c r="F377" s="20" t="s">
        <v>46</v>
      </c>
      <c r="G377" s="19">
        <v>40770</v>
      </c>
      <c r="H377" s="20" t="s">
        <v>88</v>
      </c>
      <c r="I377" s="20">
        <v>7</v>
      </c>
    </row>
    <row r="378" spans="1:9">
      <c r="A378" s="19">
        <v>40791</v>
      </c>
      <c r="B378" s="20">
        <v>2011</v>
      </c>
      <c r="C378" s="20">
        <v>3</v>
      </c>
      <c r="D378" s="20" t="s">
        <v>25</v>
      </c>
      <c r="E378" s="20">
        <v>14.7</v>
      </c>
      <c r="F378" s="20" t="s">
        <v>46</v>
      </c>
      <c r="G378" s="19">
        <v>40770</v>
      </c>
      <c r="H378" s="20" t="s">
        <v>88</v>
      </c>
      <c r="I378" s="20">
        <v>7</v>
      </c>
    </row>
    <row r="379" spans="1:9">
      <c r="A379" s="19">
        <v>40792</v>
      </c>
      <c r="B379" s="20">
        <v>2011</v>
      </c>
      <c r="C379" s="20">
        <v>3</v>
      </c>
      <c r="D379" s="20" t="s">
        <v>25</v>
      </c>
      <c r="E379" s="20">
        <v>12.6</v>
      </c>
      <c r="F379" s="20" t="s">
        <v>46</v>
      </c>
      <c r="G379" s="19">
        <v>40770</v>
      </c>
      <c r="H379" s="20" t="s">
        <v>88</v>
      </c>
      <c r="I379" s="20">
        <v>7</v>
      </c>
    </row>
    <row r="380" spans="1:9">
      <c r="A380" s="19">
        <v>40793</v>
      </c>
      <c r="B380" s="20">
        <v>2011</v>
      </c>
      <c r="C380" s="20">
        <v>3</v>
      </c>
      <c r="D380" s="20" t="s">
        <v>25</v>
      </c>
      <c r="E380" s="20">
        <v>13.8</v>
      </c>
      <c r="F380" s="20" t="s">
        <v>46</v>
      </c>
      <c r="G380" s="19">
        <v>40770</v>
      </c>
      <c r="H380" s="20" t="s">
        <v>88</v>
      </c>
      <c r="I380" s="20">
        <v>7</v>
      </c>
    </row>
    <row r="381" spans="1:9">
      <c r="A381" s="19">
        <v>40794</v>
      </c>
      <c r="B381" s="20">
        <v>2011</v>
      </c>
      <c r="C381" s="20">
        <v>3</v>
      </c>
      <c r="D381" s="20" t="s">
        <v>25</v>
      </c>
      <c r="E381" s="20">
        <v>12.6</v>
      </c>
      <c r="F381" s="20" t="s">
        <v>46</v>
      </c>
      <c r="G381" s="19">
        <v>40770</v>
      </c>
      <c r="H381" s="20" t="s">
        <v>88</v>
      </c>
      <c r="I381" s="20">
        <v>7</v>
      </c>
    </row>
    <row r="382" spans="1:9">
      <c r="A382" s="19">
        <v>40795</v>
      </c>
      <c r="B382" s="20">
        <v>2011</v>
      </c>
      <c r="C382" s="20" t="s">
        <v>74</v>
      </c>
      <c r="D382" s="20" t="s">
        <v>25</v>
      </c>
      <c r="E382" s="20">
        <v>5.0999999999999996</v>
      </c>
      <c r="F382" s="20" t="s">
        <v>46</v>
      </c>
      <c r="G382" s="19">
        <v>40770</v>
      </c>
      <c r="H382" s="20" t="s">
        <v>88</v>
      </c>
      <c r="I382" s="20">
        <v>7</v>
      </c>
    </row>
    <row r="383" spans="1:9">
      <c r="A383" s="19">
        <v>40795</v>
      </c>
      <c r="B383" s="20">
        <v>2011</v>
      </c>
      <c r="C383" s="20" t="s">
        <v>16</v>
      </c>
      <c r="D383" s="20" t="s">
        <v>28</v>
      </c>
      <c r="E383" s="20">
        <v>1.2</v>
      </c>
      <c r="F383" s="20" t="s">
        <v>46</v>
      </c>
      <c r="G383" s="19">
        <v>40779</v>
      </c>
      <c r="H383" s="20" t="s">
        <v>88</v>
      </c>
      <c r="I383" s="20">
        <v>7</v>
      </c>
    </row>
    <row r="384" spans="1:9">
      <c r="A384" s="19">
        <v>40796</v>
      </c>
      <c r="B384" s="20">
        <v>2011</v>
      </c>
      <c r="C384" s="20" t="s">
        <v>74</v>
      </c>
      <c r="D384" s="20" t="s">
        <v>31</v>
      </c>
      <c r="E384" s="20">
        <v>2.4</v>
      </c>
      <c r="F384" s="20" t="s">
        <v>32</v>
      </c>
      <c r="G384" s="19">
        <v>40779</v>
      </c>
      <c r="H384" s="20" t="s">
        <v>88</v>
      </c>
      <c r="I384" s="20">
        <v>7</v>
      </c>
    </row>
    <row r="385" spans="1:10">
      <c r="A385" s="19">
        <v>40798</v>
      </c>
      <c r="B385" s="20">
        <v>2011</v>
      </c>
      <c r="C385" s="20" t="s">
        <v>13</v>
      </c>
      <c r="D385" s="20" t="s">
        <v>25</v>
      </c>
      <c r="E385" s="20">
        <v>13.5</v>
      </c>
      <c r="F385" s="20" t="s">
        <v>46</v>
      </c>
      <c r="G385" s="19">
        <v>40770</v>
      </c>
      <c r="H385" s="20" t="s">
        <v>88</v>
      </c>
      <c r="I385" s="20">
        <v>7</v>
      </c>
    </row>
    <row r="386" spans="1:10">
      <c r="A386" s="19">
        <v>40798</v>
      </c>
      <c r="B386" s="20">
        <v>2011</v>
      </c>
      <c r="C386" s="20" t="s">
        <v>16</v>
      </c>
      <c r="D386" s="20" t="s">
        <v>28</v>
      </c>
      <c r="E386" s="20">
        <v>2.4</v>
      </c>
      <c r="F386" s="20" t="s">
        <v>46</v>
      </c>
      <c r="G386" s="19">
        <v>40779</v>
      </c>
      <c r="H386" s="20" t="s">
        <v>88</v>
      </c>
      <c r="I386" s="20">
        <v>7</v>
      </c>
    </row>
    <row r="387" spans="1:10">
      <c r="A387" s="19">
        <v>40799</v>
      </c>
      <c r="B387" s="20">
        <v>2011</v>
      </c>
      <c r="C387" s="20" t="s">
        <v>13</v>
      </c>
      <c r="D387" s="20" t="s">
        <v>25</v>
      </c>
      <c r="E387" s="20">
        <v>11.4</v>
      </c>
      <c r="F387" s="20" t="s">
        <v>46</v>
      </c>
      <c r="G387" s="19">
        <v>40770</v>
      </c>
      <c r="H387" s="20" t="s">
        <v>88</v>
      </c>
      <c r="I387" s="20">
        <v>7</v>
      </c>
    </row>
    <row r="388" spans="1:10">
      <c r="A388" s="19">
        <v>40799</v>
      </c>
      <c r="B388" s="20">
        <v>2011</v>
      </c>
      <c r="C388" s="20" t="s">
        <v>16</v>
      </c>
      <c r="D388" s="20" t="s">
        <v>28</v>
      </c>
      <c r="E388" s="20">
        <v>2.4</v>
      </c>
      <c r="F388" s="20" t="s">
        <v>46</v>
      </c>
      <c r="G388" s="19">
        <v>40779</v>
      </c>
      <c r="H388" s="20" t="s">
        <v>88</v>
      </c>
      <c r="I388" s="20">
        <v>7</v>
      </c>
    </row>
    <row r="389" spans="1:10">
      <c r="A389" s="19">
        <v>40800</v>
      </c>
      <c r="B389" s="20">
        <v>2011</v>
      </c>
      <c r="C389" s="20" t="s">
        <v>13</v>
      </c>
      <c r="D389" s="20" t="s">
        <v>25</v>
      </c>
      <c r="E389" s="20">
        <v>6</v>
      </c>
      <c r="F389" s="20" t="s">
        <v>46</v>
      </c>
      <c r="G389" s="19">
        <v>40770</v>
      </c>
      <c r="H389" s="20" t="s">
        <v>88</v>
      </c>
      <c r="I389" s="20">
        <v>7</v>
      </c>
    </row>
    <row r="390" spans="1:10">
      <c r="A390" s="19">
        <v>40800</v>
      </c>
      <c r="B390" s="20">
        <v>2011</v>
      </c>
      <c r="C390" s="20" t="s">
        <v>16</v>
      </c>
      <c r="D390" s="20" t="s">
        <v>28</v>
      </c>
      <c r="E390" s="20">
        <v>8.4</v>
      </c>
      <c r="F390" s="20" t="s">
        <v>46</v>
      </c>
      <c r="G390" s="19">
        <v>40779</v>
      </c>
      <c r="H390" s="20" t="s">
        <v>88</v>
      </c>
      <c r="I390" s="20">
        <v>7</v>
      </c>
    </row>
    <row r="391" spans="1:10">
      <c r="A391" s="19">
        <v>40800</v>
      </c>
      <c r="B391" s="20">
        <v>2011</v>
      </c>
      <c r="C391" s="20">
        <v>5</v>
      </c>
      <c r="D391" s="20" t="s">
        <v>28</v>
      </c>
      <c r="E391" s="20">
        <v>1.8</v>
      </c>
      <c r="F391" s="20" t="s">
        <v>32</v>
      </c>
      <c r="G391" s="19">
        <v>40779</v>
      </c>
      <c r="H391" s="20" t="s">
        <v>86</v>
      </c>
      <c r="I391" s="20">
        <v>21</v>
      </c>
      <c r="J391" s="20" t="s">
        <v>89</v>
      </c>
    </row>
    <row r="392" spans="1:10">
      <c r="A392" s="19">
        <v>40801</v>
      </c>
      <c r="B392" s="20">
        <v>2011</v>
      </c>
      <c r="C392" s="20" t="s">
        <v>13</v>
      </c>
      <c r="D392" s="20" t="s">
        <v>25</v>
      </c>
      <c r="E392" s="20">
        <v>2.1</v>
      </c>
      <c r="F392" s="20" t="s">
        <v>46</v>
      </c>
      <c r="G392" s="19">
        <v>40770</v>
      </c>
      <c r="H392" s="20" t="s">
        <v>88</v>
      </c>
      <c r="I392" s="20">
        <v>7</v>
      </c>
    </row>
    <row r="393" spans="1:10">
      <c r="A393" s="19">
        <v>40801</v>
      </c>
      <c r="B393" s="20">
        <v>2011</v>
      </c>
      <c r="C393" s="20" t="s">
        <v>16</v>
      </c>
      <c r="D393" s="20" t="s">
        <v>28</v>
      </c>
      <c r="E393" s="20">
        <v>13.8</v>
      </c>
      <c r="F393" s="20" t="s">
        <v>46</v>
      </c>
      <c r="G393" s="19">
        <v>40779</v>
      </c>
      <c r="H393" s="20" t="s">
        <v>88</v>
      </c>
      <c r="I393" s="20">
        <v>7</v>
      </c>
    </row>
    <row r="394" spans="1:10">
      <c r="A394" s="19">
        <v>40802</v>
      </c>
      <c r="B394" s="20">
        <v>2011</v>
      </c>
      <c r="C394" s="20" t="s">
        <v>16</v>
      </c>
      <c r="D394" s="20" t="s">
        <v>28</v>
      </c>
      <c r="E394" s="20">
        <v>16.8</v>
      </c>
      <c r="F394" s="20" t="s">
        <v>46</v>
      </c>
      <c r="G394" s="19">
        <v>40779</v>
      </c>
      <c r="H394" s="20" t="s">
        <v>88</v>
      </c>
      <c r="I394" s="20">
        <v>7</v>
      </c>
    </row>
    <row r="395" spans="1:10">
      <c r="A395" s="19">
        <v>40803</v>
      </c>
      <c r="B395" s="20">
        <v>2011</v>
      </c>
      <c r="C395" s="20" t="s">
        <v>16</v>
      </c>
      <c r="D395" s="20" t="s">
        <v>28</v>
      </c>
      <c r="E395" s="20">
        <v>9</v>
      </c>
      <c r="F395" s="20" t="s">
        <v>46</v>
      </c>
      <c r="G395" s="19">
        <v>40779</v>
      </c>
      <c r="H395" s="20" t="s">
        <v>88</v>
      </c>
      <c r="I395" s="20">
        <v>7</v>
      </c>
    </row>
    <row r="396" spans="1:10">
      <c r="A396" s="19">
        <v>40803</v>
      </c>
      <c r="B396" s="20">
        <v>2011</v>
      </c>
      <c r="C396" s="20" t="s">
        <v>90</v>
      </c>
      <c r="D396" s="20" t="s">
        <v>31</v>
      </c>
      <c r="E396" s="20">
        <v>6</v>
      </c>
      <c r="F396" s="20" t="s">
        <v>32</v>
      </c>
      <c r="G396" s="19">
        <v>40779</v>
      </c>
      <c r="H396" s="20" t="s">
        <v>86</v>
      </c>
      <c r="I396" s="20">
        <v>21</v>
      </c>
    </row>
    <row r="397" spans="1:10">
      <c r="A397" s="19">
        <v>40805</v>
      </c>
      <c r="B397" s="20">
        <v>2011</v>
      </c>
      <c r="C397" s="20" t="s">
        <v>16</v>
      </c>
      <c r="D397" s="20" t="s">
        <v>28</v>
      </c>
      <c r="E397" s="20">
        <v>3.3</v>
      </c>
      <c r="F397" s="20" t="s">
        <v>46</v>
      </c>
      <c r="G397" s="19">
        <v>40779</v>
      </c>
      <c r="H397" s="20" t="s">
        <v>88</v>
      </c>
      <c r="I397" s="20">
        <v>7</v>
      </c>
    </row>
    <row r="398" spans="1:10">
      <c r="A398" s="19">
        <v>40805</v>
      </c>
      <c r="B398" s="20">
        <v>2011</v>
      </c>
      <c r="C398" s="20">
        <v>3</v>
      </c>
      <c r="D398" s="20" t="s">
        <v>25</v>
      </c>
      <c r="E398" s="20">
        <v>9.6</v>
      </c>
      <c r="F398" s="20" t="s">
        <v>46</v>
      </c>
      <c r="G398" s="19">
        <v>40770</v>
      </c>
      <c r="H398" s="20" t="s">
        <v>88</v>
      </c>
      <c r="I398" s="20">
        <v>7</v>
      </c>
    </row>
    <row r="399" spans="1:10">
      <c r="A399" s="19">
        <v>40806</v>
      </c>
      <c r="B399" s="20">
        <v>2011</v>
      </c>
      <c r="C399" s="20">
        <v>3</v>
      </c>
      <c r="D399" s="20" t="s">
        <v>25</v>
      </c>
      <c r="E399" s="20">
        <v>12</v>
      </c>
      <c r="F399" s="20" t="s">
        <v>46</v>
      </c>
      <c r="G399" s="19">
        <v>40770</v>
      </c>
      <c r="H399" s="20" t="s">
        <v>88</v>
      </c>
      <c r="I399" s="20">
        <v>7</v>
      </c>
    </row>
    <row r="400" spans="1:10">
      <c r="A400" s="19">
        <v>40807</v>
      </c>
      <c r="B400" s="20">
        <v>2011</v>
      </c>
      <c r="C400" s="20">
        <v>3</v>
      </c>
      <c r="D400" s="20" t="s">
        <v>25</v>
      </c>
      <c r="E400" s="20">
        <v>9.6</v>
      </c>
      <c r="F400" s="20" t="s">
        <v>46</v>
      </c>
      <c r="G400" s="19">
        <v>40770</v>
      </c>
      <c r="H400" s="20" t="s">
        <v>88</v>
      </c>
      <c r="I400" s="20">
        <v>7</v>
      </c>
    </row>
    <row r="401" spans="1:9">
      <c r="A401" s="19">
        <v>40808</v>
      </c>
      <c r="B401" s="20">
        <v>2011</v>
      </c>
      <c r="C401" s="20" t="s">
        <v>74</v>
      </c>
      <c r="D401" s="20" t="s">
        <v>25</v>
      </c>
      <c r="E401" s="20">
        <v>9.6</v>
      </c>
      <c r="F401" s="20" t="s">
        <v>46</v>
      </c>
      <c r="G401" s="19">
        <v>40770</v>
      </c>
      <c r="H401" s="20" t="s">
        <v>88</v>
      </c>
      <c r="I401" s="20">
        <v>7</v>
      </c>
    </row>
    <row r="402" spans="1:9">
      <c r="A402" s="19">
        <v>40809</v>
      </c>
      <c r="B402" s="20">
        <v>2011</v>
      </c>
      <c r="C402" s="20" t="s">
        <v>13</v>
      </c>
      <c r="D402" s="20" t="s">
        <v>25</v>
      </c>
      <c r="E402" s="20">
        <v>8.6999999999999993</v>
      </c>
      <c r="F402" s="20" t="s">
        <v>46</v>
      </c>
      <c r="G402" s="19">
        <v>40770</v>
      </c>
      <c r="H402" s="20" t="s">
        <v>88</v>
      </c>
      <c r="I402" s="20">
        <v>7</v>
      </c>
    </row>
    <row r="403" spans="1:9">
      <c r="A403" s="19">
        <v>40809</v>
      </c>
      <c r="B403" s="20">
        <v>2011</v>
      </c>
      <c r="C403" s="20" t="s">
        <v>91</v>
      </c>
      <c r="D403" s="20" t="s">
        <v>31</v>
      </c>
      <c r="E403" s="20">
        <v>6.6</v>
      </c>
      <c r="F403" s="20" t="s">
        <v>32</v>
      </c>
      <c r="G403" s="19">
        <v>40770</v>
      </c>
      <c r="H403" s="20" t="s">
        <v>88</v>
      </c>
      <c r="I403" s="20">
        <v>7</v>
      </c>
    </row>
    <row r="404" spans="1:9">
      <c r="A404" s="19">
        <v>40810</v>
      </c>
      <c r="B404" s="20">
        <v>2011</v>
      </c>
      <c r="C404" s="20">
        <v>4</v>
      </c>
      <c r="D404" s="20" t="s">
        <v>52</v>
      </c>
      <c r="E404" s="20">
        <v>7.2</v>
      </c>
      <c r="F404" s="20" t="s">
        <v>46</v>
      </c>
      <c r="G404" s="19">
        <v>40796</v>
      </c>
      <c r="H404" s="20" t="s">
        <v>88</v>
      </c>
      <c r="I404" s="20">
        <v>7</v>
      </c>
    </row>
    <row r="405" spans="1:9">
      <c r="A405" s="19">
        <v>40810</v>
      </c>
      <c r="B405" s="20">
        <v>2011</v>
      </c>
      <c r="C405" s="20">
        <v>4</v>
      </c>
      <c r="D405" s="20" t="s">
        <v>52</v>
      </c>
      <c r="E405" s="20">
        <v>0.6</v>
      </c>
      <c r="F405" s="20" t="s">
        <v>32</v>
      </c>
      <c r="G405" s="19">
        <v>40796</v>
      </c>
      <c r="H405" s="20" t="s">
        <v>88</v>
      </c>
      <c r="I405" s="20">
        <v>7</v>
      </c>
    </row>
    <row r="406" spans="1:9">
      <c r="A406" s="19">
        <v>40812</v>
      </c>
      <c r="B406" s="20">
        <v>2011</v>
      </c>
      <c r="C406" s="20">
        <v>4</v>
      </c>
      <c r="D406" s="20" t="s">
        <v>52</v>
      </c>
      <c r="E406" s="20">
        <v>3.6</v>
      </c>
      <c r="F406" s="20" t="s">
        <v>46</v>
      </c>
      <c r="G406" s="19">
        <v>40796</v>
      </c>
      <c r="H406" s="20" t="s">
        <v>88</v>
      </c>
      <c r="I406" s="20">
        <v>7</v>
      </c>
    </row>
    <row r="407" spans="1:9">
      <c r="A407" s="19">
        <v>40812</v>
      </c>
      <c r="B407" s="20">
        <v>2011</v>
      </c>
      <c r="C407" s="20" t="s">
        <v>17</v>
      </c>
      <c r="D407" s="20" t="s">
        <v>35</v>
      </c>
      <c r="E407" s="20">
        <v>9.6</v>
      </c>
      <c r="F407" s="20" t="s">
        <v>46</v>
      </c>
      <c r="G407" s="19">
        <v>40806</v>
      </c>
      <c r="H407" s="20" t="s">
        <v>92</v>
      </c>
      <c r="I407" s="20">
        <v>3</v>
      </c>
    </row>
    <row r="408" spans="1:9">
      <c r="A408" s="19">
        <v>40813</v>
      </c>
      <c r="B408" s="20">
        <v>2011</v>
      </c>
      <c r="C408" s="20">
        <v>4</v>
      </c>
      <c r="D408" s="20" t="s">
        <v>52</v>
      </c>
      <c r="E408" s="20">
        <v>2.7</v>
      </c>
      <c r="F408" s="20" t="s">
        <v>46</v>
      </c>
      <c r="G408" s="19">
        <v>40796</v>
      </c>
      <c r="H408" s="20" t="s">
        <v>88</v>
      </c>
      <c r="I408" s="20">
        <v>7</v>
      </c>
    </row>
    <row r="409" spans="1:9">
      <c r="A409" s="19">
        <v>40813</v>
      </c>
      <c r="B409" s="20">
        <v>2011</v>
      </c>
      <c r="C409" s="20" t="s">
        <v>17</v>
      </c>
      <c r="D409" s="20" t="s">
        <v>35</v>
      </c>
      <c r="E409" s="20">
        <v>11.4</v>
      </c>
      <c r="F409" s="20" t="s">
        <v>46</v>
      </c>
      <c r="G409" s="19">
        <v>40806</v>
      </c>
      <c r="H409" s="20" t="s">
        <v>92</v>
      </c>
      <c r="I409" s="20">
        <v>3</v>
      </c>
    </row>
    <row r="410" spans="1:9">
      <c r="A410" s="19">
        <v>40814</v>
      </c>
      <c r="B410" s="20">
        <v>2011</v>
      </c>
      <c r="C410" s="20" t="s">
        <v>17</v>
      </c>
      <c r="D410" s="20" t="s">
        <v>35</v>
      </c>
      <c r="E410" s="20">
        <v>10.199999999999999</v>
      </c>
      <c r="F410" s="20" t="s">
        <v>46</v>
      </c>
      <c r="G410" s="19">
        <v>40806</v>
      </c>
      <c r="H410" s="20" t="s">
        <v>92</v>
      </c>
      <c r="I410" s="20">
        <v>3</v>
      </c>
    </row>
    <row r="411" spans="1:9">
      <c r="A411" s="19">
        <v>40814</v>
      </c>
      <c r="B411" s="20">
        <v>2011</v>
      </c>
      <c r="C411" s="20" t="s">
        <v>13</v>
      </c>
      <c r="D411" s="20" t="s">
        <v>25</v>
      </c>
      <c r="E411" s="20">
        <v>2.4</v>
      </c>
      <c r="F411" s="20" t="s">
        <v>46</v>
      </c>
      <c r="G411" s="19">
        <v>40770</v>
      </c>
      <c r="H411" s="20" t="s">
        <v>88</v>
      </c>
      <c r="I411" s="20">
        <v>7</v>
      </c>
    </row>
    <row r="412" spans="1:9">
      <c r="A412" s="19">
        <v>40815</v>
      </c>
      <c r="B412" s="20">
        <v>2011</v>
      </c>
      <c r="C412" s="20" t="s">
        <v>17</v>
      </c>
      <c r="D412" s="20" t="s">
        <v>35</v>
      </c>
      <c r="E412" s="20">
        <v>9.3000000000000007</v>
      </c>
      <c r="F412" s="20" t="s">
        <v>46</v>
      </c>
      <c r="G412" s="19">
        <v>40806</v>
      </c>
      <c r="H412" s="20" t="s">
        <v>92</v>
      </c>
      <c r="I412" s="20">
        <v>3</v>
      </c>
    </row>
    <row r="413" spans="1:9">
      <c r="A413" s="19">
        <v>40815</v>
      </c>
      <c r="B413" s="20">
        <v>2011</v>
      </c>
      <c r="C413" s="20" t="s">
        <v>13</v>
      </c>
      <c r="D413" s="20" t="s">
        <v>25</v>
      </c>
      <c r="E413" s="20">
        <v>2.1</v>
      </c>
      <c r="F413" s="20" t="s">
        <v>32</v>
      </c>
      <c r="G413" s="19">
        <v>40770</v>
      </c>
      <c r="H413" s="20" t="s">
        <v>88</v>
      </c>
      <c r="I413" s="20">
        <v>7</v>
      </c>
    </row>
    <row r="414" spans="1:9">
      <c r="A414" s="19">
        <v>40816</v>
      </c>
      <c r="B414" s="20">
        <v>2011</v>
      </c>
      <c r="C414" s="20">
        <v>5</v>
      </c>
      <c r="D414" s="20" t="s">
        <v>35</v>
      </c>
      <c r="E414" s="20">
        <v>10.5</v>
      </c>
      <c r="F414" s="20" t="s">
        <v>46</v>
      </c>
      <c r="G414" s="19">
        <v>40806</v>
      </c>
      <c r="H414" s="20" t="s">
        <v>92</v>
      </c>
      <c r="I414" s="20">
        <v>3</v>
      </c>
    </row>
    <row r="415" spans="1:9">
      <c r="A415" s="19">
        <v>40816</v>
      </c>
      <c r="B415" s="20">
        <v>2011</v>
      </c>
      <c r="C415" s="20" t="s">
        <v>93</v>
      </c>
      <c r="D415" s="20" t="s">
        <v>31</v>
      </c>
      <c r="E415" s="20">
        <v>6.6</v>
      </c>
      <c r="F415" s="20" t="s">
        <v>32</v>
      </c>
      <c r="G415" s="19">
        <v>40806</v>
      </c>
      <c r="H415" s="20" t="s">
        <v>92</v>
      </c>
      <c r="I415" s="20">
        <v>3</v>
      </c>
    </row>
    <row r="416" spans="1:9">
      <c r="A416" s="19">
        <v>40817</v>
      </c>
      <c r="B416" s="20">
        <v>2011</v>
      </c>
      <c r="C416" s="20" t="s">
        <v>17</v>
      </c>
      <c r="D416" s="20" t="s">
        <v>35</v>
      </c>
      <c r="E416" s="20">
        <v>0.9</v>
      </c>
      <c r="F416" s="20" t="s">
        <v>46</v>
      </c>
      <c r="G416" s="19">
        <v>40806</v>
      </c>
      <c r="H416" s="20" t="s">
        <v>92</v>
      </c>
      <c r="I416" s="20">
        <v>3</v>
      </c>
    </row>
    <row r="417" spans="1:9">
      <c r="A417" s="19">
        <v>40817</v>
      </c>
      <c r="B417" s="20">
        <v>2011</v>
      </c>
      <c r="C417" s="20" t="s">
        <v>13</v>
      </c>
      <c r="D417" s="20" t="s">
        <v>25</v>
      </c>
      <c r="E417" s="20">
        <v>0.6</v>
      </c>
      <c r="F417" s="20" t="s">
        <v>46</v>
      </c>
      <c r="G417" s="19">
        <v>40770</v>
      </c>
      <c r="H417" s="20" t="s">
        <v>88</v>
      </c>
      <c r="I417" s="20">
        <v>7</v>
      </c>
    </row>
    <row r="418" spans="1:9">
      <c r="A418" s="19">
        <v>40822</v>
      </c>
      <c r="B418" s="20">
        <v>2011</v>
      </c>
      <c r="C418" s="20" t="s">
        <v>17</v>
      </c>
      <c r="D418" s="20" t="s">
        <v>35</v>
      </c>
      <c r="E418" s="20">
        <v>2.4</v>
      </c>
      <c r="F418" s="20" t="s">
        <v>46</v>
      </c>
      <c r="G418" s="19">
        <v>40806</v>
      </c>
      <c r="H418" s="20" t="s">
        <v>92</v>
      </c>
      <c r="I418" s="20">
        <v>3</v>
      </c>
    </row>
    <row r="419" spans="1:9">
      <c r="A419" s="19">
        <v>40824</v>
      </c>
      <c r="B419" s="20">
        <v>2011</v>
      </c>
      <c r="C419" s="20" t="s">
        <v>17</v>
      </c>
      <c r="D419" s="20" t="s">
        <v>35</v>
      </c>
      <c r="E419" s="20">
        <v>3.6</v>
      </c>
      <c r="F419" s="20" t="s">
        <v>46</v>
      </c>
      <c r="G419" s="19">
        <v>40806</v>
      </c>
      <c r="H419" s="20" t="s">
        <v>92</v>
      </c>
      <c r="I419" s="20">
        <v>3</v>
      </c>
    </row>
    <row r="420" spans="1:9">
      <c r="A420" s="19">
        <v>40826</v>
      </c>
      <c r="B420" s="20">
        <v>2011</v>
      </c>
      <c r="C420" s="20" t="s">
        <v>17</v>
      </c>
      <c r="D420" s="20" t="s">
        <v>35</v>
      </c>
      <c r="E420" s="20">
        <v>12</v>
      </c>
      <c r="F420" s="20" t="s">
        <v>46</v>
      </c>
      <c r="G420" s="19">
        <v>40806</v>
      </c>
      <c r="H420" s="20" t="s">
        <v>92</v>
      </c>
      <c r="I420" s="20">
        <v>3</v>
      </c>
    </row>
    <row r="421" spans="1:9">
      <c r="A421" s="19">
        <v>40827</v>
      </c>
      <c r="B421" s="20">
        <v>2011</v>
      </c>
      <c r="C421" s="20" t="s">
        <v>17</v>
      </c>
      <c r="D421" s="20" t="s">
        <v>35</v>
      </c>
      <c r="E421" s="20">
        <v>12</v>
      </c>
      <c r="F421" s="20" t="s">
        <v>46</v>
      </c>
      <c r="G421" s="19">
        <v>40806</v>
      </c>
      <c r="H421" s="20" t="s">
        <v>92</v>
      </c>
      <c r="I421" s="20">
        <v>3</v>
      </c>
    </row>
    <row r="422" spans="1:9">
      <c r="A422" s="19">
        <v>40827</v>
      </c>
      <c r="B422" s="20">
        <v>2011</v>
      </c>
      <c r="C422" s="20" t="s">
        <v>17</v>
      </c>
      <c r="D422" s="20" t="s">
        <v>31</v>
      </c>
      <c r="E422" s="20">
        <v>1.5</v>
      </c>
      <c r="F422" s="20" t="s">
        <v>32</v>
      </c>
      <c r="G422" s="19">
        <v>40806</v>
      </c>
      <c r="H422" s="20" t="s">
        <v>92</v>
      </c>
      <c r="I422" s="20">
        <v>3</v>
      </c>
    </row>
    <row r="423" spans="1:9">
      <c r="A423" s="19">
        <v>40828</v>
      </c>
      <c r="B423" s="20">
        <v>2011</v>
      </c>
      <c r="C423" s="20" t="s">
        <v>17</v>
      </c>
      <c r="D423" s="20" t="s">
        <v>35</v>
      </c>
      <c r="E423" s="20">
        <v>8.4</v>
      </c>
      <c r="F423" s="20" t="s">
        <v>46</v>
      </c>
      <c r="G423" s="19">
        <v>40806</v>
      </c>
      <c r="H423" s="20" t="s">
        <v>92</v>
      </c>
      <c r="I423" s="20">
        <v>3</v>
      </c>
    </row>
    <row r="424" spans="1:9">
      <c r="A424" s="19">
        <v>40828</v>
      </c>
      <c r="B424" s="20">
        <v>2011</v>
      </c>
      <c r="C424" s="20">
        <v>4</v>
      </c>
      <c r="D424" s="20" t="s">
        <v>52</v>
      </c>
      <c r="E424" s="20">
        <v>3.6</v>
      </c>
      <c r="F424" s="20" t="s">
        <v>46</v>
      </c>
      <c r="G424" s="19">
        <v>40796</v>
      </c>
      <c r="H424" s="20" t="s">
        <v>88</v>
      </c>
      <c r="I424" s="20">
        <v>7</v>
      </c>
    </row>
    <row r="425" spans="1:9">
      <c r="A425" s="19">
        <v>40829</v>
      </c>
      <c r="B425" s="20">
        <v>2011</v>
      </c>
      <c r="C425" s="20">
        <v>4</v>
      </c>
      <c r="D425" s="20" t="s">
        <v>52</v>
      </c>
      <c r="E425" s="20">
        <v>12</v>
      </c>
      <c r="F425" s="20" t="s">
        <v>46</v>
      </c>
      <c r="G425" s="19">
        <v>40796</v>
      </c>
      <c r="H425" s="20" t="s">
        <v>88</v>
      </c>
      <c r="I425" s="20">
        <v>7</v>
      </c>
    </row>
    <row r="426" spans="1:9">
      <c r="A426" s="19">
        <v>40830</v>
      </c>
      <c r="B426" s="20">
        <v>2011</v>
      </c>
      <c r="C426" s="20">
        <v>4</v>
      </c>
      <c r="D426" s="20" t="s">
        <v>52</v>
      </c>
      <c r="E426" s="20">
        <v>6.6</v>
      </c>
      <c r="F426" s="20" t="s">
        <v>46</v>
      </c>
      <c r="G426" s="19">
        <v>40796</v>
      </c>
      <c r="H426" s="20" t="s">
        <v>88</v>
      </c>
      <c r="I426" s="20">
        <v>7</v>
      </c>
    </row>
    <row r="427" spans="1:9">
      <c r="A427" s="19">
        <v>40830</v>
      </c>
      <c r="B427" s="20">
        <v>2011</v>
      </c>
      <c r="C427" s="20">
        <v>5</v>
      </c>
      <c r="D427" s="20" t="s">
        <v>35</v>
      </c>
      <c r="E427" s="20">
        <v>6.6</v>
      </c>
      <c r="F427" s="20" t="s">
        <v>46</v>
      </c>
      <c r="G427" s="19">
        <v>40806</v>
      </c>
      <c r="H427" s="20" t="s">
        <v>92</v>
      </c>
      <c r="I427" s="20">
        <v>3</v>
      </c>
    </row>
    <row r="428" spans="1:9">
      <c r="A428" s="19">
        <v>40831</v>
      </c>
      <c r="B428" s="20">
        <v>2011</v>
      </c>
      <c r="C428" s="20">
        <v>4</v>
      </c>
      <c r="D428" s="20" t="s">
        <v>52</v>
      </c>
      <c r="E428" s="20">
        <v>3.6</v>
      </c>
      <c r="F428" s="20" t="s">
        <v>46</v>
      </c>
      <c r="G428" s="19">
        <v>40796</v>
      </c>
      <c r="H428" s="20" t="s">
        <v>88</v>
      </c>
      <c r="I428" s="20">
        <v>7</v>
      </c>
    </row>
    <row r="429" spans="1:9">
      <c r="A429" s="19">
        <v>40833</v>
      </c>
      <c r="B429" s="20">
        <v>2011</v>
      </c>
      <c r="C429" s="20">
        <v>4</v>
      </c>
      <c r="D429" s="20" t="s">
        <v>52</v>
      </c>
      <c r="E429" s="20">
        <v>2.1</v>
      </c>
      <c r="F429" s="20" t="s">
        <v>46</v>
      </c>
      <c r="G429" s="19">
        <v>40796</v>
      </c>
      <c r="H429" s="20" t="s">
        <v>88</v>
      </c>
      <c r="I429" s="20">
        <v>7</v>
      </c>
    </row>
    <row r="430" spans="1:9">
      <c r="A430" s="19">
        <v>40833</v>
      </c>
      <c r="B430" s="20">
        <v>2011</v>
      </c>
      <c r="C430" s="20" t="s">
        <v>84</v>
      </c>
      <c r="D430" s="20" t="s">
        <v>31</v>
      </c>
      <c r="E430" s="20">
        <v>3.6</v>
      </c>
      <c r="F430" s="20" t="s">
        <v>32</v>
      </c>
      <c r="G430" s="19">
        <v>40806</v>
      </c>
      <c r="H430" s="20" t="s">
        <v>92</v>
      </c>
      <c r="I430" s="20">
        <v>3</v>
      </c>
    </row>
    <row r="431" spans="1:9">
      <c r="A431" s="19">
        <v>40836</v>
      </c>
      <c r="B431" s="20">
        <v>2011</v>
      </c>
      <c r="C431" s="20" t="s">
        <v>17</v>
      </c>
      <c r="D431" s="20" t="s">
        <v>35</v>
      </c>
      <c r="E431" s="20">
        <v>6</v>
      </c>
      <c r="F431" s="20" t="s">
        <v>46</v>
      </c>
      <c r="G431" s="19">
        <v>40806</v>
      </c>
      <c r="H431" s="20" t="s">
        <v>92</v>
      </c>
      <c r="I431" s="20">
        <v>3</v>
      </c>
    </row>
    <row r="432" spans="1:9">
      <c r="A432" s="19">
        <v>40837</v>
      </c>
      <c r="B432" s="20">
        <v>2011</v>
      </c>
      <c r="C432" s="20" t="s">
        <v>17</v>
      </c>
      <c r="D432" s="20" t="s">
        <v>35</v>
      </c>
      <c r="E432" s="20">
        <v>5.0999999999999996</v>
      </c>
      <c r="F432" s="20" t="s">
        <v>46</v>
      </c>
      <c r="G432" s="19">
        <v>40806</v>
      </c>
      <c r="H432" s="20" t="s">
        <v>92</v>
      </c>
      <c r="I432" s="20">
        <v>3</v>
      </c>
    </row>
    <row r="433" spans="1:10">
      <c r="A433" s="19">
        <v>40840</v>
      </c>
      <c r="B433" s="20">
        <v>2011</v>
      </c>
      <c r="C433" s="20">
        <v>4</v>
      </c>
      <c r="D433" s="20" t="s">
        <v>52</v>
      </c>
      <c r="E433" s="20">
        <v>12</v>
      </c>
      <c r="F433" s="20" t="s">
        <v>46</v>
      </c>
      <c r="G433" s="19">
        <v>40796</v>
      </c>
      <c r="H433" s="20" t="s">
        <v>88</v>
      </c>
      <c r="I433" s="20">
        <v>7</v>
      </c>
    </row>
    <row r="434" spans="1:10">
      <c r="A434" s="19">
        <v>40841</v>
      </c>
      <c r="B434" s="20">
        <v>2011</v>
      </c>
      <c r="C434" s="20">
        <v>4</v>
      </c>
      <c r="D434" s="20" t="s">
        <v>52</v>
      </c>
      <c r="E434" s="20">
        <v>12</v>
      </c>
      <c r="F434" s="20" t="s">
        <v>46</v>
      </c>
      <c r="G434" s="19">
        <v>40796</v>
      </c>
      <c r="H434" s="20" t="s">
        <v>88</v>
      </c>
      <c r="I434" s="20">
        <v>7</v>
      </c>
    </row>
    <row r="435" spans="1:10">
      <c r="A435" s="19">
        <v>40842</v>
      </c>
      <c r="B435" s="20">
        <v>2011</v>
      </c>
      <c r="C435" s="20">
        <v>4</v>
      </c>
      <c r="D435" s="20" t="s">
        <v>52</v>
      </c>
      <c r="E435" s="20">
        <v>10.8</v>
      </c>
      <c r="F435" s="20" t="s">
        <v>32</v>
      </c>
      <c r="G435" s="19">
        <v>40796</v>
      </c>
      <c r="H435" s="20" t="s">
        <v>88</v>
      </c>
      <c r="I435" s="20">
        <v>7</v>
      </c>
    </row>
    <row r="436" spans="1:10">
      <c r="A436" s="19">
        <v>40843</v>
      </c>
      <c r="B436" s="20">
        <v>2011</v>
      </c>
      <c r="C436" s="20">
        <v>4</v>
      </c>
      <c r="D436" s="20" t="s">
        <v>52</v>
      </c>
      <c r="E436" s="20">
        <v>13.8</v>
      </c>
      <c r="F436" s="20" t="s">
        <v>32</v>
      </c>
      <c r="G436" s="19">
        <v>40796</v>
      </c>
      <c r="H436" s="20" t="s">
        <v>88</v>
      </c>
      <c r="I436" s="20">
        <v>7</v>
      </c>
    </row>
    <row r="437" spans="1:10">
      <c r="A437" s="19">
        <v>40843</v>
      </c>
      <c r="B437" s="20">
        <v>2011</v>
      </c>
      <c r="C437" s="20">
        <v>4</v>
      </c>
      <c r="D437" s="20" t="s">
        <v>31</v>
      </c>
      <c r="E437" s="20">
        <v>4.8</v>
      </c>
      <c r="F437" s="20" t="s">
        <v>32</v>
      </c>
      <c r="G437" s="19">
        <v>40796</v>
      </c>
      <c r="H437" s="20" t="s">
        <v>88</v>
      </c>
      <c r="I437" s="20">
        <v>7</v>
      </c>
    </row>
    <row r="438" spans="1:10">
      <c r="A438" s="19">
        <v>40417</v>
      </c>
      <c r="B438" s="20">
        <v>2010</v>
      </c>
      <c r="C438" s="20">
        <v>4</v>
      </c>
      <c r="D438" s="20" t="s">
        <v>31</v>
      </c>
      <c r="E438" s="20">
        <v>5.25</v>
      </c>
      <c r="F438" s="20" t="s">
        <v>32</v>
      </c>
      <c r="G438" s="19">
        <v>40393</v>
      </c>
      <c r="H438" s="20" t="s">
        <v>94</v>
      </c>
      <c r="I438" s="20">
        <v>21</v>
      </c>
      <c r="J438" s="20" t="s">
        <v>95</v>
      </c>
    </row>
    <row r="439" spans="1:10">
      <c r="A439" s="19">
        <v>40425</v>
      </c>
      <c r="B439" s="20">
        <v>2010</v>
      </c>
      <c r="C439" s="20" t="s">
        <v>96</v>
      </c>
      <c r="D439" s="20" t="s">
        <v>31</v>
      </c>
      <c r="E439" s="20">
        <v>11.4</v>
      </c>
      <c r="F439" s="20" t="s">
        <v>32</v>
      </c>
      <c r="G439" s="19">
        <v>40393</v>
      </c>
      <c r="H439" s="20" t="s">
        <v>94</v>
      </c>
      <c r="I439" s="20">
        <v>21</v>
      </c>
      <c r="J439" s="20" t="s">
        <v>97</v>
      </c>
    </row>
    <row r="440" spans="1:10">
      <c r="A440" s="19">
        <v>40427</v>
      </c>
      <c r="B440" s="20">
        <v>2010</v>
      </c>
      <c r="C440" s="20">
        <v>3</v>
      </c>
      <c r="D440" s="20" t="s">
        <v>25</v>
      </c>
      <c r="E440" s="20">
        <v>4.8</v>
      </c>
      <c r="F440" s="20" t="s">
        <v>46</v>
      </c>
      <c r="G440" s="19">
        <v>40393</v>
      </c>
      <c r="H440" s="20" t="s">
        <v>94</v>
      </c>
      <c r="I440" s="20">
        <v>21</v>
      </c>
    </row>
    <row r="441" spans="1:10">
      <c r="A441" s="19">
        <v>40427</v>
      </c>
      <c r="B441" s="20">
        <v>2010</v>
      </c>
      <c r="C441" s="20">
        <v>3</v>
      </c>
      <c r="D441" s="20" t="s">
        <v>31</v>
      </c>
      <c r="E441" s="20">
        <v>0.3</v>
      </c>
      <c r="F441" s="20" t="s">
        <v>32</v>
      </c>
      <c r="G441" s="19">
        <v>40393</v>
      </c>
      <c r="H441" s="20" t="s">
        <v>94</v>
      </c>
      <c r="I441" s="20">
        <v>21</v>
      </c>
    </row>
    <row r="442" spans="1:10">
      <c r="A442" s="19">
        <v>40428</v>
      </c>
      <c r="B442" s="20">
        <v>2010</v>
      </c>
      <c r="C442" s="20">
        <v>3</v>
      </c>
      <c r="D442" s="20" t="s">
        <v>25</v>
      </c>
      <c r="E442" s="20">
        <v>9.6</v>
      </c>
      <c r="F442" s="20" t="s">
        <v>46</v>
      </c>
      <c r="G442" s="19">
        <v>40393</v>
      </c>
      <c r="H442" s="20" t="s">
        <v>94</v>
      </c>
      <c r="I442" s="20">
        <v>21</v>
      </c>
    </row>
    <row r="443" spans="1:10">
      <c r="A443" s="19">
        <v>40428</v>
      </c>
      <c r="B443" s="20">
        <v>2010</v>
      </c>
      <c r="C443" s="20">
        <v>3</v>
      </c>
      <c r="D443" s="20" t="s">
        <v>31</v>
      </c>
      <c r="E443" s="20">
        <v>1.2</v>
      </c>
      <c r="F443" s="20" t="s">
        <v>32</v>
      </c>
      <c r="G443" s="19">
        <v>40393</v>
      </c>
      <c r="H443" s="20" t="s">
        <v>94</v>
      </c>
      <c r="I443" s="20">
        <v>21</v>
      </c>
    </row>
    <row r="444" spans="1:10">
      <c r="A444" s="19">
        <v>40429</v>
      </c>
      <c r="B444" s="20">
        <v>2010</v>
      </c>
      <c r="C444" s="20">
        <v>3</v>
      </c>
      <c r="D444" s="20" t="s">
        <v>25</v>
      </c>
      <c r="E444" s="20">
        <v>7.2</v>
      </c>
      <c r="F444" s="20" t="s">
        <v>46</v>
      </c>
      <c r="G444" s="19">
        <v>40393</v>
      </c>
      <c r="H444" s="20" t="s">
        <v>94</v>
      </c>
      <c r="I444" s="20">
        <v>21</v>
      </c>
    </row>
    <row r="445" spans="1:10">
      <c r="A445" s="19">
        <v>40429</v>
      </c>
      <c r="B445" s="20">
        <v>2010</v>
      </c>
      <c r="C445" s="20">
        <v>3</v>
      </c>
      <c r="D445" s="20" t="s">
        <v>31</v>
      </c>
      <c r="E445" s="20">
        <v>0.6</v>
      </c>
      <c r="F445" s="20" t="s">
        <v>32</v>
      </c>
      <c r="G445" s="19">
        <v>40393</v>
      </c>
      <c r="H445" s="20" t="s">
        <v>94</v>
      </c>
      <c r="I445" s="20">
        <v>21</v>
      </c>
    </row>
    <row r="446" spans="1:10">
      <c r="A446" s="19">
        <v>40430</v>
      </c>
      <c r="B446" s="20">
        <v>2010</v>
      </c>
      <c r="C446" s="20">
        <v>3</v>
      </c>
      <c r="D446" s="20" t="s">
        <v>25</v>
      </c>
      <c r="E446" s="20">
        <v>6</v>
      </c>
      <c r="F446" s="20" t="s">
        <v>46</v>
      </c>
      <c r="G446" s="19">
        <v>40393</v>
      </c>
      <c r="H446" s="20" t="s">
        <v>94</v>
      </c>
      <c r="I446" s="20">
        <v>21</v>
      </c>
    </row>
    <row r="447" spans="1:10">
      <c r="A447" s="19">
        <v>40430</v>
      </c>
      <c r="B447" s="20">
        <v>2010</v>
      </c>
      <c r="C447" s="20">
        <v>3</v>
      </c>
      <c r="D447" s="20" t="s">
        <v>31</v>
      </c>
      <c r="E447" s="20">
        <v>0.6</v>
      </c>
      <c r="F447" s="20" t="s">
        <v>32</v>
      </c>
      <c r="G447" s="19">
        <v>40393</v>
      </c>
      <c r="H447" s="20" t="s">
        <v>94</v>
      </c>
      <c r="I447" s="20">
        <v>21</v>
      </c>
    </row>
    <row r="448" spans="1:10">
      <c r="A448" s="19">
        <v>40431</v>
      </c>
      <c r="B448" s="20">
        <v>2010</v>
      </c>
      <c r="C448" s="20">
        <v>3</v>
      </c>
      <c r="D448" s="20" t="s">
        <v>25</v>
      </c>
      <c r="E448" s="20">
        <v>8.4</v>
      </c>
      <c r="F448" s="20" t="s">
        <v>46</v>
      </c>
      <c r="G448" s="19">
        <v>40393</v>
      </c>
      <c r="H448" s="20" t="s">
        <v>94</v>
      </c>
      <c r="I448" s="20">
        <v>21</v>
      </c>
    </row>
    <row r="449" spans="1:9">
      <c r="A449" s="19">
        <v>40431</v>
      </c>
      <c r="B449" s="20">
        <v>2010</v>
      </c>
      <c r="C449" s="20">
        <v>3</v>
      </c>
      <c r="D449" s="20" t="s">
        <v>31</v>
      </c>
      <c r="E449" s="20">
        <v>0.6</v>
      </c>
      <c r="F449" s="20" t="s">
        <v>32</v>
      </c>
      <c r="G449" s="19">
        <v>40393</v>
      </c>
      <c r="H449" s="20" t="s">
        <v>94</v>
      </c>
      <c r="I449" s="20">
        <v>21</v>
      </c>
    </row>
    <row r="450" spans="1:9">
      <c r="A450" s="19">
        <v>40432</v>
      </c>
      <c r="B450" s="20">
        <v>2010</v>
      </c>
      <c r="C450" s="20">
        <v>3</v>
      </c>
      <c r="D450" s="20" t="s">
        <v>25</v>
      </c>
      <c r="E450" s="20">
        <v>3</v>
      </c>
      <c r="F450" s="20" t="s">
        <v>46</v>
      </c>
      <c r="G450" s="19">
        <v>40393</v>
      </c>
      <c r="H450" s="20" t="s">
        <v>94</v>
      </c>
      <c r="I450" s="20">
        <v>21</v>
      </c>
    </row>
    <row r="451" spans="1:9">
      <c r="A451" s="19">
        <v>40434</v>
      </c>
      <c r="B451" s="20">
        <v>2010</v>
      </c>
      <c r="C451" s="20" t="s">
        <v>13</v>
      </c>
      <c r="D451" s="20" t="s">
        <v>25</v>
      </c>
      <c r="E451" s="20">
        <v>14.4</v>
      </c>
      <c r="F451" s="20" t="s">
        <v>46</v>
      </c>
      <c r="G451" s="19">
        <v>40408</v>
      </c>
      <c r="H451" s="20" t="s">
        <v>98</v>
      </c>
      <c r="I451" s="20">
        <v>7</v>
      </c>
    </row>
    <row r="452" spans="1:9">
      <c r="A452" s="19">
        <v>40434</v>
      </c>
      <c r="B452" s="20">
        <v>2010</v>
      </c>
      <c r="C452" s="20" t="s">
        <v>13</v>
      </c>
      <c r="D452" s="20" t="s">
        <v>31</v>
      </c>
      <c r="E452" s="20">
        <v>0.6</v>
      </c>
      <c r="F452" s="20" t="s">
        <v>32</v>
      </c>
      <c r="G452" s="19">
        <v>40408</v>
      </c>
      <c r="H452" s="20" t="s">
        <v>98</v>
      </c>
      <c r="I452" s="20">
        <v>7</v>
      </c>
    </row>
    <row r="453" spans="1:9">
      <c r="A453" s="19">
        <v>40435</v>
      </c>
      <c r="B453" s="20">
        <v>2010</v>
      </c>
      <c r="C453" s="20" t="s">
        <v>13</v>
      </c>
      <c r="D453" s="20" t="s">
        <v>25</v>
      </c>
      <c r="E453" s="20">
        <v>13.2</v>
      </c>
      <c r="F453" s="20" t="s">
        <v>46</v>
      </c>
      <c r="G453" s="19">
        <v>40408</v>
      </c>
      <c r="H453" s="20" t="s">
        <v>98</v>
      </c>
      <c r="I453" s="20">
        <v>7</v>
      </c>
    </row>
    <row r="454" spans="1:9">
      <c r="A454" s="19">
        <v>40435</v>
      </c>
      <c r="B454" s="20">
        <v>2010</v>
      </c>
      <c r="C454" s="20" t="s">
        <v>13</v>
      </c>
      <c r="D454" s="20" t="s">
        <v>31</v>
      </c>
      <c r="E454" s="20">
        <v>0.6</v>
      </c>
      <c r="F454" s="20" t="s">
        <v>32</v>
      </c>
      <c r="G454" s="19">
        <v>40408</v>
      </c>
      <c r="H454" s="20" t="s">
        <v>98</v>
      </c>
      <c r="I454" s="20">
        <v>7</v>
      </c>
    </row>
    <row r="455" spans="1:9">
      <c r="A455" s="19">
        <v>40436</v>
      </c>
      <c r="B455" s="20">
        <v>2010</v>
      </c>
      <c r="C455" s="20" t="s">
        <v>13</v>
      </c>
      <c r="D455" s="20" t="s">
        <v>25</v>
      </c>
      <c r="E455" s="20">
        <v>6</v>
      </c>
      <c r="F455" s="20" t="s">
        <v>46</v>
      </c>
      <c r="G455" s="19">
        <v>40408</v>
      </c>
      <c r="H455" s="20" t="s">
        <v>98</v>
      </c>
      <c r="I455" s="20">
        <v>7</v>
      </c>
    </row>
    <row r="456" spans="1:9">
      <c r="A456" s="19">
        <v>40436</v>
      </c>
      <c r="B456" s="20">
        <v>2010</v>
      </c>
      <c r="C456" s="20">
        <v>1</v>
      </c>
      <c r="D456" s="20" t="s">
        <v>25</v>
      </c>
      <c r="E456" s="20">
        <v>4.8</v>
      </c>
      <c r="F456" s="20" t="s">
        <v>46</v>
      </c>
      <c r="G456" s="19">
        <v>40393</v>
      </c>
      <c r="H456" s="20" t="s">
        <v>94</v>
      </c>
      <c r="I456" s="20">
        <v>21</v>
      </c>
    </row>
    <row r="457" spans="1:9">
      <c r="A457" s="19">
        <v>40436</v>
      </c>
      <c r="B457" s="20">
        <v>2010</v>
      </c>
      <c r="C457" s="20">
        <v>1</v>
      </c>
      <c r="D457" s="20" t="s">
        <v>31</v>
      </c>
      <c r="E457" s="20">
        <v>0.9</v>
      </c>
      <c r="F457" s="20" t="s">
        <v>32</v>
      </c>
      <c r="G457" s="19">
        <v>40393</v>
      </c>
      <c r="H457" s="20" t="s">
        <v>94</v>
      </c>
      <c r="I457" s="20">
        <v>21</v>
      </c>
    </row>
    <row r="458" spans="1:9">
      <c r="A458" s="19">
        <v>40437</v>
      </c>
      <c r="B458" s="20">
        <v>2010</v>
      </c>
      <c r="C458" s="20" t="s">
        <v>96</v>
      </c>
      <c r="D458" s="20" t="s">
        <v>25</v>
      </c>
      <c r="E458" s="20">
        <v>9.6</v>
      </c>
      <c r="F458" s="20" t="s">
        <v>46</v>
      </c>
      <c r="G458" s="19">
        <v>40393</v>
      </c>
      <c r="H458" s="20" t="s">
        <v>94</v>
      </c>
      <c r="I458" s="20">
        <v>21</v>
      </c>
    </row>
    <row r="459" spans="1:9">
      <c r="A459" s="19">
        <v>40437</v>
      </c>
      <c r="B459" s="20">
        <v>2010</v>
      </c>
      <c r="C459" s="20" t="s">
        <v>96</v>
      </c>
      <c r="D459" s="20" t="s">
        <v>31</v>
      </c>
      <c r="E459" s="20">
        <v>0.6</v>
      </c>
      <c r="F459" s="20" t="s">
        <v>32</v>
      </c>
      <c r="G459" s="19">
        <v>40393</v>
      </c>
      <c r="H459" s="20" t="s">
        <v>94</v>
      </c>
      <c r="I459" s="20">
        <v>21</v>
      </c>
    </row>
    <row r="460" spans="1:9">
      <c r="A460" s="19">
        <v>40438</v>
      </c>
      <c r="B460" s="20">
        <v>2010</v>
      </c>
      <c r="C460" s="20">
        <v>3</v>
      </c>
      <c r="D460" s="20" t="s">
        <v>25</v>
      </c>
      <c r="E460" s="20">
        <v>10.199999999999999</v>
      </c>
      <c r="F460" s="20" t="s">
        <v>46</v>
      </c>
      <c r="G460" s="19">
        <v>40393</v>
      </c>
      <c r="H460" s="20" t="s">
        <v>94</v>
      </c>
      <c r="I460" s="20">
        <v>21</v>
      </c>
    </row>
    <row r="461" spans="1:9">
      <c r="A461" s="19">
        <v>40438</v>
      </c>
      <c r="B461" s="20">
        <v>2010</v>
      </c>
      <c r="C461" s="20">
        <v>3</v>
      </c>
      <c r="D461" s="20" t="s">
        <v>31</v>
      </c>
      <c r="E461" s="20">
        <v>0.3</v>
      </c>
      <c r="F461" s="20" t="s">
        <v>32</v>
      </c>
      <c r="G461" s="19">
        <v>40393</v>
      </c>
      <c r="H461" s="20" t="s">
        <v>94</v>
      </c>
      <c r="I461" s="20">
        <v>21</v>
      </c>
    </row>
    <row r="462" spans="1:9">
      <c r="A462" s="19">
        <v>40441</v>
      </c>
      <c r="B462" s="20">
        <v>2010</v>
      </c>
      <c r="C462" s="20">
        <v>3</v>
      </c>
      <c r="D462" s="20" t="s">
        <v>25</v>
      </c>
      <c r="E462" s="20">
        <v>10.4</v>
      </c>
      <c r="F462" s="20" t="s">
        <v>46</v>
      </c>
      <c r="G462" s="19">
        <v>40393</v>
      </c>
      <c r="H462" s="20" t="s">
        <v>94</v>
      </c>
      <c r="I462" s="20">
        <v>21</v>
      </c>
    </row>
    <row r="463" spans="1:9">
      <c r="A463" s="19">
        <v>40441</v>
      </c>
      <c r="B463" s="20">
        <v>2010</v>
      </c>
      <c r="C463" s="20">
        <v>3</v>
      </c>
      <c r="D463" s="20" t="s">
        <v>31</v>
      </c>
      <c r="E463" s="20">
        <v>0.3</v>
      </c>
      <c r="F463" s="20" t="s">
        <v>32</v>
      </c>
      <c r="G463" s="19">
        <v>40393</v>
      </c>
      <c r="H463" s="20" t="s">
        <v>94</v>
      </c>
      <c r="I463" s="20">
        <v>21</v>
      </c>
    </row>
    <row r="464" spans="1:9">
      <c r="A464" s="19">
        <v>40442</v>
      </c>
      <c r="B464" s="20">
        <v>2010</v>
      </c>
      <c r="C464" s="20">
        <v>3</v>
      </c>
      <c r="D464" s="20" t="s">
        <v>25</v>
      </c>
      <c r="E464" s="20">
        <v>10.4</v>
      </c>
      <c r="F464" s="20" t="s">
        <v>46</v>
      </c>
      <c r="G464" s="19">
        <v>40393</v>
      </c>
      <c r="H464" s="20" t="s">
        <v>94</v>
      </c>
      <c r="I464" s="20">
        <v>21</v>
      </c>
    </row>
    <row r="465" spans="1:9">
      <c r="A465" s="19">
        <v>40442</v>
      </c>
      <c r="B465" s="20">
        <v>2010</v>
      </c>
      <c r="C465" s="20">
        <v>3</v>
      </c>
      <c r="D465" s="20" t="s">
        <v>31</v>
      </c>
      <c r="E465" s="20">
        <v>0.3</v>
      </c>
      <c r="F465" s="20" t="s">
        <v>32</v>
      </c>
      <c r="G465" s="19">
        <v>40393</v>
      </c>
      <c r="H465" s="20" t="s">
        <v>94</v>
      </c>
      <c r="I465" s="20">
        <v>21</v>
      </c>
    </row>
    <row r="466" spans="1:9">
      <c r="A466" s="19">
        <v>40443</v>
      </c>
      <c r="B466" s="20">
        <v>2010</v>
      </c>
      <c r="C466" s="20">
        <v>3</v>
      </c>
      <c r="D466" s="20" t="s">
        <v>25</v>
      </c>
      <c r="E466" s="20">
        <v>13.2</v>
      </c>
      <c r="F466" s="20" t="s">
        <v>46</v>
      </c>
      <c r="G466" s="19">
        <v>40393</v>
      </c>
      <c r="H466" s="20" t="s">
        <v>94</v>
      </c>
      <c r="I466" s="20">
        <v>21</v>
      </c>
    </row>
    <row r="467" spans="1:9">
      <c r="A467" s="19">
        <v>40443</v>
      </c>
      <c r="B467" s="20">
        <v>2010</v>
      </c>
      <c r="C467" s="20">
        <v>3</v>
      </c>
      <c r="D467" s="20" t="s">
        <v>31</v>
      </c>
      <c r="E467" s="20">
        <v>0.9</v>
      </c>
      <c r="F467" s="20" t="s">
        <v>32</v>
      </c>
      <c r="G467" s="19">
        <v>40393</v>
      </c>
      <c r="H467" s="20" t="s">
        <v>94</v>
      </c>
      <c r="I467" s="20">
        <v>21</v>
      </c>
    </row>
    <row r="468" spans="1:9">
      <c r="A468" s="19">
        <v>40444</v>
      </c>
      <c r="B468" s="20">
        <v>2010</v>
      </c>
      <c r="C468" s="20">
        <v>3</v>
      </c>
      <c r="D468" s="20" t="s">
        <v>25</v>
      </c>
      <c r="E468" s="20">
        <v>1.2</v>
      </c>
      <c r="F468" s="20" t="s">
        <v>46</v>
      </c>
      <c r="G468" s="19">
        <v>40393</v>
      </c>
      <c r="H468" s="20" t="s">
        <v>94</v>
      </c>
      <c r="I468" s="20">
        <v>21</v>
      </c>
    </row>
    <row r="469" spans="1:9">
      <c r="A469" s="19">
        <v>40444</v>
      </c>
      <c r="B469" s="20">
        <v>2010</v>
      </c>
      <c r="C469" s="20" t="s">
        <v>16</v>
      </c>
      <c r="D469" s="20" t="s">
        <v>28</v>
      </c>
      <c r="E469" s="20">
        <v>12</v>
      </c>
      <c r="F469" s="20" t="s">
        <v>46</v>
      </c>
      <c r="G469" s="19">
        <v>40416</v>
      </c>
      <c r="H469" s="20" t="s">
        <v>98</v>
      </c>
      <c r="I469" s="20">
        <v>7</v>
      </c>
    </row>
    <row r="470" spans="1:9">
      <c r="A470" s="19">
        <v>40444</v>
      </c>
      <c r="B470" s="20">
        <v>2010</v>
      </c>
      <c r="C470" s="20" t="s">
        <v>16</v>
      </c>
      <c r="D470" s="20" t="s">
        <v>31</v>
      </c>
      <c r="E470" s="20">
        <v>0.3</v>
      </c>
      <c r="F470" s="20" t="s">
        <v>32</v>
      </c>
      <c r="G470" s="19">
        <v>40416</v>
      </c>
      <c r="H470" s="20" t="s">
        <v>98</v>
      </c>
      <c r="I470" s="20">
        <v>7</v>
      </c>
    </row>
    <row r="471" spans="1:9">
      <c r="A471" s="19">
        <v>40445</v>
      </c>
      <c r="B471" s="20">
        <v>2010</v>
      </c>
      <c r="C471" s="20" t="s">
        <v>16</v>
      </c>
      <c r="D471" s="20" t="s">
        <v>28</v>
      </c>
      <c r="E471" s="20">
        <v>1.2</v>
      </c>
      <c r="F471" s="20" t="s">
        <v>46</v>
      </c>
      <c r="G471" s="19">
        <v>40416</v>
      </c>
      <c r="H471" s="20" t="s">
        <v>98</v>
      </c>
      <c r="I471" s="20">
        <v>7</v>
      </c>
    </row>
    <row r="472" spans="1:9">
      <c r="A472" s="19">
        <v>40445</v>
      </c>
      <c r="B472" s="20">
        <v>2010</v>
      </c>
      <c r="C472" s="20" t="s">
        <v>13</v>
      </c>
      <c r="D472" s="20" t="s">
        <v>25</v>
      </c>
      <c r="E472" s="20">
        <v>9.6</v>
      </c>
      <c r="F472" s="20" t="s">
        <v>46</v>
      </c>
      <c r="G472" s="19">
        <v>40408</v>
      </c>
      <c r="H472" s="20" t="s">
        <v>98</v>
      </c>
      <c r="I472" s="20">
        <v>7</v>
      </c>
    </row>
    <row r="473" spans="1:9">
      <c r="A473" s="19">
        <v>40445</v>
      </c>
      <c r="B473" s="20">
        <v>2010</v>
      </c>
      <c r="C473" s="20" t="s">
        <v>13</v>
      </c>
      <c r="D473" s="20" t="s">
        <v>31</v>
      </c>
      <c r="E473" s="20">
        <v>0.6</v>
      </c>
      <c r="F473" s="20" t="s">
        <v>32</v>
      </c>
      <c r="G473" s="19">
        <v>40408</v>
      </c>
      <c r="H473" s="20" t="s">
        <v>98</v>
      </c>
      <c r="I473" s="20">
        <v>7</v>
      </c>
    </row>
    <row r="474" spans="1:9">
      <c r="A474" s="19">
        <v>40446</v>
      </c>
      <c r="B474" s="20">
        <v>2010</v>
      </c>
      <c r="C474" s="20" t="s">
        <v>13</v>
      </c>
      <c r="D474" s="20" t="s">
        <v>25</v>
      </c>
      <c r="E474" s="20">
        <v>1.2</v>
      </c>
      <c r="F474" s="20" t="s">
        <v>46</v>
      </c>
      <c r="G474" s="19">
        <v>40408</v>
      </c>
      <c r="H474" s="20" t="s">
        <v>98</v>
      </c>
      <c r="I474" s="20">
        <v>7</v>
      </c>
    </row>
    <row r="475" spans="1:9">
      <c r="A475" s="19">
        <v>40446</v>
      </c>
      <c r="B475" s="20">
        <v>2010</v>
      </c>
      <c r="C475" s="20" t="s">
        <v>16</v>
      </c>
      <c r="D475" s="20" t="s">
        <v>28</v>
      </c>
      <c r="E475" s="20">
        <v>6</v>
      </c>
      <c r="F475" s="20" t="s">
        <v>46</v>
      </c>
      <c r="G475" s="19">
        <v>40416</v>
      </c>
      <c r="H475" s="20" t="s">
        <v>98</v>
      </c>
      <c r="I475" s="20">
        <v>7</v>
      </c>
    </row>
    <row r="476" spans="1:9">
      <c r="A476" s="19">
        <v>40446</v>
      </c>
      <c r="B476" s="20">
        <v>2010</v>
      </c>
      <c r="C476" s="20" t="s">
        <v>16</v>
      </c>
      <c r="D476" s="20" t="s">
        <v>31</v>
      </c>
      <c r="E476" s="20">
        <v>0.3</v>
      </c>
      <c r="F476" s="20" t="s">
        <v>32</v>
      </c>
      <c r="G476" s="19">
        <v>40416</v>
      </c>
      <c r="H476" s="20" t="s">
        <v>98</v>
      </c>
      <c r="I476" s="20">
        <v>7</v>
      </c>
    </row>
    <row r="477" spans="1:9">
      <c r="A477" s="19">
        <v>40447</v>
      </c>
      <c r="B477" s="20">
        <v>2010</v>
      </c>
      <c r="C477" s="20" t="s">
        <v>99</v>
      </c>
      <c r="D477" s="20" t="s">
        <v>28</v>
      </c>
      <c r="E477" s="20">
        <v>1.2</v>
      </c>
      <c r="F477" s="20" t="s">
        <v>46</v>
      </c>
      <c r="G477" s="19">
        <v>40416</v>
      </c>
      <c r="H477" s="20" t="s">
        <v>98</v>
      </c>
      <c r="I477" s="20">
        <v>7</v>
      </c>
    </row>
    <row r="478" spans="1:9">
      <c r="A478" s="19">
        <v>40448</v>
      </c>
      <c r="B478" s="20">
        <v>2010</v>
      </c>
      <c r="C478" s="20" t="s">
        <v>16</v>
      </c>
      <c r="D478" s="20" t="s">
        <v>28</v>
      </c>
      <c r="E478" s="20">
        <v>17.100000000000001</v>
      </c>
      <c r="F478" s="20" t="s">
        <v>46</v>
      </c>
      <c r="G478" s="19">
        <v>40416</v>
      </c>
      <c r="H478" s="20" t="s">
        <v>98</v>
      </c>
      <c r="I478" s="20">
        <v>7</v>
      </c>
    </row>
    <row r="479" spans="1:9">
      <c r="A479" s="19">
        <v>40448</v>
      </c>
      <c r="B479" s="20">
        <v>2010</v>
      </c>
      <c r="C479" s="20" t="s">
        <v>16</v>
      </c>
      <c r="D479" s="20" t="s">
        <v>31</v>
      </c>
      <c r="E479" s="20">
        <v>0.6</v>
      </c>
      <c r="F479" s="20" t="s">
        <v>32</v>
      </c>
      <c r="G479" s="19">
        <v>40416</v>
      </c>
      <c r="H479" s="20" t="s">
        <v>98</v>
      </c>
      <c r="I479" s="20">
        <v>7</v>
      </c>
    </row>
    <row r="480" spans="1:9">
      <c r="A480" s="19">
        <v>40449</v>
      </c>
      <c r="B480" s="20">
        <v>2010</v>
      </c>
      <c r="C480" s="20" t="s">
        <v>99</v>
      </c>
      <c r="D480" s="20" t="s">
        <v>25</v>
      </c>
      <c r="E480" s="20">
        <v>6</v>
      </c>
      <c r="F480" s="20" t="s">
        <v>46</v>
      </c>
      <c r="G480" s="19">
        <v>40393</v>
      </c>
      <c r="H480" s="20" t="s">
        <v>94</v>
      </c>
      <c r="I480" s="20">
        <v>21</v>
      </c>
    </row>
    <row r="481" spans="1:9">
      <c r="A481" s="19">
        <v>40449</v>
      </c>
      <c r="B481" s="20">
        <v>2010</v>
      </c>
      <c r="C481" s="20" t="s">
        <v>16</v>
      </c>
      <c r="D481" s="20" t="s">
        <v>28</v>
      </c>
      <c r="E481" s="20">
        <v>3.9</v>
      </c>
      <c r="F481" s="20" t="s">
        <v>46</v>
      </c>
      <c r="G481" s="19">
        <v>40416</v>
      </c>
      <c r="H481" s="20" t="s">
        <v>98</v>
      </c>
      <c r="I481" s="20">
        <v>7</v>
      </c>
    </row>
    <row r="482" spans="1:9">
      <c r="A482" s="19">
        <v>40449</v>
      </c>
      <c r="B482" s="20">
        <v>2010</v>
      </c>
      <c r="C482" s="20" t="s">
        <v>99</v>
      </c>
      <c r="D482" s="20" t="s">
        <v>31</v>
      </c>
      <c r="E482" s="20">
        <v>0.6</v>
      </c>
      <c r="F482" s="20" t="s">
        <v>32</v>
      </c>
      <c r="G482" s="19">
        <v>40393</v>
      </c>
      <c r="H482" s="20" t="s">
        <v>94</v>
      </c>
      <c r="I482" s="20">
        <v>21</v>
      </c>
    </row>
    <row r="483" spans="1:9">
      <c r="A483" s="19">
        <v>40450</v>
      </c>
      <c r="B483" s="20">
        <v>2010</v>
      </c>
      <c r="C483" s="20" t="s">
        <v>16</v>
      </c>
      <c r="D483" s="20" t="s">
        <v>28</v>
      </c>
      <c r="E483" s="20">
        <v>11.1</v>
      </c>
      <c r="F483" s="20" t="s">
        <v>46</v>
      </c>
      <c r="G483" s="19">
        <v>40416</v>
      </c>
      <c r="H483" s="20" t="s">
        <v>98</v>
      </c>
      <c r="I483" s="20">
        <v>7</v>
      </c>
    </row>
    <row r="484" spans="1:9">
      <c r="A484" s="19">
        <v>40450</v>
      </c>
      <c r="B484" s="20">
        <v>2010</v>
      </c>
      <c r="C484" s="20" t="s">
        <v>13</v>
      </c>
      <c r="D484" s="20" t="s">
        <v>25</v>
      </c>
      <c r="E484" s="20">
        <v>1.2</v>
      </c>
      <c r="F484" s="20" t="s">
        <v>46</v>
      </c>
      <c r="G484" s="19">
        <v>40408</v>
      </c>
      <c r="H484" s="20" t="s">
        <v>98</v>
      </c>
      <c r="I484" s="20">
        <v>7</v>
      </c>
    </row>
    <row r="485" spans="1:9">
      <c r="A485" s="19">
        <v>40450</v>
      </c>
      <c r="B485" s="20">
        <v>2010</v>
      </c>
      <c r="C485" s="20" t="s">
        <v>16</v>
      </c>
      <c r="D485" s="20" t="s">
        <v>31</v>
      </c>
      <c r="E485" s="20">
        <v>0.6</v>
      </c>
      <c r="F485" s="20" t="s">
        <v>32</v>
      </c>
      <c r="G485" s="19">
        <v>40416</v>
      </c>
      <c r="H485" s="20" t="s">
        <v>98</v>
      </c>
      <c r="I485" s="20">
        <v>7</v>
      </c>
    </row>
    <row r="486" spans="1:9">
      <c r="A486" s="19">
        <v>40450</v>
      </c>
      <c r="B486" s="20">
        <v>2010</v>
      </c>
      <c r="C486" s="20" t="s">
        <v>17</v>
      </c>
      <c r="D486" s="20" t="s">
        <v>35</v>
      </c>
      <c r="E486" s="20">
        <v>0.6</v>
      </c>
      <c r="F486" s="20" t="s">
        <v>46</v>
      </c>
      <c r="G486" s="19">
        <v>40422</v>
      </c>
      <c r="H486" s="20" t="s">
        <v>98</v>
      </c>
      <c r="I486" s="20">
        <v>7</v>
      </c>
    </row>
    <row r="487" spans="1:9">
      <c r="A487" s="19">
        <v>40451</v>
      </c>
      <c r="B487" s="20">
        <v>2010</v>
      </c>
      <c r="C487" s="20" t="s">
        <v>17</v>
      </c>
      <c r="D487" s="20" t="s">
        <v>35</v>
      </c>
      <c r="E487" s="20">
        <v>4.2</v>
      </c>
      <c r="F487" s="20" t="s">
        <v>46</v>
      </c>
      <c r="G487" s="19">
        <v>40422</v>
      </c>
      <c r="H487" s="20" t="s">
        <v>98</v>
      </c>
      <c r="I487" s="20">
        <v>7</v>
      </c>
    </row>
    <row r="488" spans="1:9">
      <c r="A488" s="19">
        <v>40451</v>
      </c>
      <c r="B488" s="20">
        <v>2010</v>
      </c>
      <c r="C488" s="20" t="s">
        <v>16</v>
      </c>
      <c r="D488" s="20" t="s">
        <v>28</v>
      </c>
      <c r="E488" s="20">
        <v>2.4</v>
      </c>
      <c r="F488" s="20" t="s">
        <v>46</v>
      </c>
      <c r="G488" s="19">
        <v>40416</v>
      </c>
      <c r="H488" s="20" t="s">
        <v>98</v>
      </c>
      <c r="I488" s="20">
        <v>7</v>
      </c>
    </row>
    <row r="489" spans="1:9">
      <c r="A489" s="19">
        <v>40451</v>
      </c>
      <c r="B489" s="20">
        <v>2010</v>
      </c>
      <c r="C489" s="20" t="s">
        <v>100</v>
      </c>
      <c r="D489" s="20" t="s">
        <v>31</v>
      </c>
      <c r="E489" s="20">
        <v>0.3</v>
      </c>
      <c r="F489" s="20" t="s">
        <v>32</v>
      </c>
      <c r="G489" s="19">
        <v>40422</v>
      </c>
      <c r="H489" s="20" t="s">
        <v>98</v>
      </c>
      <c r="I489" s="20">
        <v>7</v>
      </c>
    </row>
    <row r="490" spans="1:9">
      <c r="A490" s="19">
        <v>40452</v>
      </c>
      <c r="B490" s="20">
        <v>2010</v>
      </c>
      <c r="C490" s="20" t="s">
        <v>17</v>
      </c>
      <c r="D490" s="20" t="s">
        <v>35</v>
      </c>
      <c r="E490" s="20">
        <v>11.4</v>
      </c>
      <c r="F490" s="20" t="s">
        <v>46</v>
      </c>
      <c r="G490" s="19">
        <v>40422</v>
      </c>
      <c r="H490" s="20" t="s">
        <v>98</v>
      </c>
      <c r="I490" s="20">
        <v>7</v>
      </c>
    </row>
    <row r="491" spans="1:9">
      <c r="A491" s="19">
        <v>40452</v>
      </c>
      <c r="B491" s="20">
        <v>2010</v>
      </c>
      <c r="C491" s="20" t="s">
        <v>17</v>
      </c>
      <c r="D491" s="20" t="s">
        <v>31</v>
      </c>
      <c r="E491" s="20">
        <v>0.9</v>
      </c>
      <c r="F491" s="20" t="s">
        <v>32</v>
      </c>
      <c r="G491" s="19">
        <v>40422</v>
      </c>
      <c r="H491" s="20" t="s">
        <v>98</v>
      </c>
      <c r="I491" s="20">
        <v>7</v>
      </c>
    </row>
    <row r="492" spans="1:9">
      <c r="A492" s="19">
        <v>40455</v>
      </c>
      <c r="B492" s="20">
        <v>2010</v>
      </c>
      <c r="C492" s="20" t="s">
        <v>17</v>
      </c>
      <c r="D492" s="20" t="s">
        <v>35</v>
      </c>
      <c r="E492" s="20">
        <v>11.4</v>
      </c>
      <c r="F492" s="20" t="s">
        <v>46</v>
      </c>
      <c r="G492" s="19">
        <v>40422</v>
      </c>
      <c r="H492" s="20" t="s">
        <v>98</v>
      </c>
      <c r="I492" s="20">
        <v>7</v>
      </c>
    </row>
    <row r="493" spans="1:9">
      <c r="A493" s="19">
        <v>40455</v>
      </c>
      <c r="B493" s="20">
        <v>2010</v>
      </c>
      <c r="C493" s="20" t="s">
        <v>17</v>
      </c>
      <c r="D493" s="20" t="s">
        <v>31</v>
      </c>
      <c r="E493" s="20">
        <v>0.6</v>
      </c>
      <c r="F493" s="20" t="s">
        <v>32</v>
      </c>
      <c r="G493" s="19">
        <v>40422</v>
      </c>
      <c r="H493" s="20" t="s">
        <v>98</v>
      </c>
      <c r="I493" s="20">
        <v>7</v>
      </c>
    </row>
    <row r="494" spans="1:9">
      <c r="A494" s="19">
        <v>40456</v>
      </c>
      <c r="B494" s="20">
        <v>2010</v>
      </c>
      <c r="C494" s="20">
        <v>4</v>
      </c>
      <c r="D494" s="20" t="s">
        <v>52</v>
      </c>
      <c r="E494" s="20">
        <v>10.8</v>
      </c>
      <c r="F494" s="20" t="s">
        <v>46</v>
      </c>
      <c r="G494" s="19">
        <v>40439</v>
      </c>
      <c r="H494" s="20" t="s">
        <v>88</v>
      </c>
      <c r="I494" s="20">
        <v>7</v>
      </c>
    </row>
    <row r="495" spans="1:9">
      <c r="A495" s="19">
        <v>40456</v>
      </c>
      <c r="B495" s="20">
        <v>2010</v>
      </c>
      <c r="C495" s="20">
        <v>4</v>
      </c>
      <c r="D495" s="20" t="s">
        <v>31</v>
      </c>
      <c r="E495" s="20">
        <v>1.5</v>
      </c>
      <c r="F495" s="20" t="s">
        <v>32</v>
      </c>
      <c r="G495" s="19">
        <v>40439</v>
      </c>
      <c r="H495" s="20" t="s">
        <v>88</v>
      </c>
      <c r="I495" s="20">
        <v>7</v>
      </c>
    </row>
    <row r="496" spans="1:9">
      <c r="A496" s="19">
        <v>40457</v>
      </c>
      <c r="B496" s="20">
        <v>2010</v>
      </c>
      <c r="C496" s="20" t="s">
        <v>17</v>
      </c>
      <c r="D496" s="20" t="s">
        <v>35</v>
      </c>
      <c r="E496" s="20">
        <v>1.8</v>
      </c>
      <c r="F496" s="20" t="s">
        <v>46</v>
      </c>
      <c r="G496" s="19">
        <v>40422</v>
      </c>
      <c r="H496" s="20" t="s">
        <v>98</v>
      </c>
      <c r="I496" s="20">
        <v>7</v>
      </c>
    </row>
    <row r="497" spans="1:9">
      <c r="A497" s="19">
        <v>40457</v>
      </c>
      <c r="B497" s="20">
        <v>2010</v>
      </c>
      <c r="C497" s="20">
        <v>4</v>
      </c>
      <c r="D497" s="20" t="s">
        <v>52</v>
      </c>
      <c r="E497" s="20">
        <v>10.8</v>
      </c>
      <c r="F497" s="20" t="s">
        <v>46</v>
      </c>
      <c r="G497" s="19">
        <v>40439</v>
      </c>
      <c r="H497" s="20" t="s">
        <v>88</v>
      </c>
      <c r="I497" s="20">
        <v>7</v>
      </c>
    </row>
    <row r="498" spans="1:9">
      <c r="A498" s="19">
        <v>40457</v>
      </c>
      <c r="B498" s="20">
        <v>2010</v>
      </c>
      <c r="C498" s="20">
        <v>4</v>
      </c>
      <c r="D498" s="20" t="s">
        <v>31</v>
      </c>
      <c r="E498" s="20">
        <v>1.2</v>
      </c>
      <c r="F498" s="20" t="s">
        <v>32</v>
      </c>
      <c r="G498" s="19">
        <v>40439</v>
      </c>
      <c r="H498" s="20" t="s">
        <v>88</v>
      </c>
      <c r="I498" s="20">
        <v>7</v>
      </c>
    </row>
    <row r="499" spans="1:9">
      <c r="A499" s="19">
        <v>40458</v>
      </c>
      <c r="B499" s="20">
        <v>2010</v>
      </c>
      <c r="C499" s="20">
        <v>1</v>
      </c>
      <c r="D499" s="20" t="s">
        <v>28</v>
      </c>
      <c r="E499" s="20">
        <v>0.6</v>
      </c>
      <c r="F499" s="20" t="s">
        <v>46</v>
      </c>
      <c r="G499" s="19">
        <v>40416</v>
      </c>
      <c r="H499" s="20" t="s">
        <v>98</v>
      </c>
      <c r="I499" s="20">
        <v>7</v>
      </c>
    </row>
    <row r="500" spans="1:9">
      <c r="A500" s="19">
        <v>40458</v>
      </c>
      <c r="B500" s="20">
        <v>2010</v>
      </c>
      <c r="C500" s="20">
        <v>4</v>
      </c>
      <c r="D500" s="20" t="s">
        <v>52</v>
      </c>
      <c r="E500" s="20">
        <v>11.4</v>
      </c>
      <c r="F500" s="20" t="s">
        <v>46</v>
      </c>
      <c r="G500" s="19">
        <v>40439</v>
      </c>
      <c r="H500" s="20" t="s">
        <v>88</v>
      </c>
      <c r="I500" s="20">
        <v>7</v>
      </c>
    </row>
    <row r="501" spans="1:9">
      <c r="A501" s="19">
        <v>40458</v>
      </c>
      <c r="B501" s="20">
        <v>2010</v>
      </c>
      <c r="C501" s="20">
        <v>4</v>
      </c>
      <c r="D501" s="20" t="s">
        <v>31</v>
      </c>
      <c r="E501" s="20">
        <v>1.2</v>
      </c>
      <c r="F501" s="20" t="s">
        <v>32</v>
      </c>
      <c r="G501" s="19">
        <v>40439</v>
      </c>
      <c r="H501" s="20" t="s">
        <v>88</v>
      </c>
      <c r="I501" s="20">
        <v>7</v>
      </c>
    </row>
    <row r="502" spans="1:9">
      <c r="A502" s="19">
        <v>40459</v>
      </c>
      <c r="B502" s="20">
        <v>2010</v>
      </c>
      <c r="C502" s="20">
        <v>4</v>
      </c>
      <c r="D502" s="20" t="s">
        <v>52</v>
      </c>
      <c r="E502" s="20">
        <v>3.6</v>
      </c>
      <c r="F502" s="20" t="s">
        <v>46</v>
      </c>
      <c r="G502" s="19">
        <v>40439</v>
      </c>
      <c r="H502" s="20" t="s">
        <v>88</v>
      </c>
      <c r="I502" s="20">
        <v>7</v>
      </c>
    </row>
    <row r="503" spans="1:9">
      <c r="A503" s="19">
        <v>40459</v>
      </c>
      <c r="B503" s="20">
        <v>2010</v>
      </c>
      <c r="C503" s="20" t="s">
        <v>17</v>
      </c>
      <c r="D503" s="20" t="s">
        <v>35</v>
      </c>
      <c r="E503" s="20">
        <v>7.5</v>
      </c>
      <c r="F503" s="20" t="s">
        <v>46</v>
      </c>
      <c r="G503" s="19">
        <v>40422</v>
      </c>
      <c r="H503" s="20" t="s">
        <v>98</v>
      </c>
      <c r="I503" s="20">
        <v>7</v>
      </c>
    </row>
    <row r="504" spans="1:9">
      <c r="A504" s="19">
        <v>40459</v>
      </c>
      <c r="B504" s="20">
        <v>2010</v>
      </c>
      <c r="C504" s="20">
        <v>4</v>
      </c>
      <c r="D504" s="20" t="s">
        <v>31</v>
      </c>
      <c r="E504" s="20">
        <v>0.9</v>
      </c>
      <c r="F504" s="20" t="s">
        <v>32</v>
      </c>
      <c r="G504" s="19">
        <v>40439</v>
      </c>
      <c r="H504" s="20" t="s">
        <v>88</v>
      </c>
      <c r="I504" s="20">
        <v>7</v>
      </c>
    </row>
    <row r="505" spans="1:9">
      <c r="A505" s="19">
        <v>40460</v>
      </c>
      <c r="B505" s="20">
        <v>2010</v>
      </c>
      <c r="C505" s="20">
        <v>4</v>
      </c>
      <c r="D505" s="20" t="s">
        <v>52</v>
      </c>
      <c r="E505" s="20">
        <v>3.9</v>
      </c>
      <c r="F505" s="20" t="s">
        <v>46</v>
      </c>
      <c r="G505" s="19">
        <v>40439</v>
      </c>
      <c r="H505" s="20" t="s">
        <v>88</v>
      </c>
      <c r="I505" s="20">
        <v>7</v>
      </c>
    </row>
    <row r="506" spans="1:9">
      <c r="A506" s="19">
        <v>40460</v>
      </c>
      <c r="B506" s="20">
        <v>2010</v>
      </c>
      <c r="C506" s="20">
        <v>4</v>
      </c>
      <c r="D506" s="20" t="s">
        <v>31</v>
      </c>
      <c r="E506" s="20">
        <v>0.6</v>
      </c>
      <c r="F506" s="20" t="s">
        <v>32</v>
      </c>
      <c r="G506" s="19">
        <v>40439</v>
      </c>
      <c r="H506" s="20" t="s">
        <v>88</v>
      </c>
      <c r="I506" s="20">
        <v>7</v>
      </c>
    </row>
    <row r="507" spans="1:9">
      <c r="A507" s="19">
        <v>40462</v>
      </c>
      <c r="B507" s="20">
        <v>2010</v>
      </c>
      <c r="C507" s="20">
        <v>4</v>
      </c>
      <c r="D507" s="20" t="s">
        <v>52</v>
      </c>
      <c r="E507" s="20">
        <v>1.8</v>
      </c>
      <c r="F507" s="20" t="s">
        <v>46</v>
      </c>
      <c r="G507" s="19">
        <v>40439</v>
      </c>
      <c r="H507" s="20" t="s">
        <v>88</v>
      </c>
      <c r="I507" s="20">
        <v>7</v>
      </c>
    </row>
    <row r="508" spans="1:9">
      <c r="A508" s="19">
        <v>40462</v>
      </c>
      <c r="B508" s="20">
        <v>2010</v>
      </c>
      <c r="C508" s="20" t="s">
        <v>17</v>
      </c>
      <c r="D508" s="20" t="s">
        <v>35</v>
      </c>
      <c r="E508" s="20">
        <v>7.2</v>
      </c>
      <c r="F508" s="20" t="s">
        <v>46</v>
      </c>
      <c r="G508" s="19">
        <v>40422</v>
      </c>
      <c r="H508" s="20" t="s">
        <v>98</v>
      </c>
      <c r="I508" s="20">
        <v>7</v>
      </c>
    </row>
    <row r="509" spans="1:9">
      <c r="A509" s="19">
        <v>40462</v>
      </c>
      <c r="B509" s="20">
        <v>2010</v>
      </c>
      <c r="C509" s="20" t="s">
        <v>17</v>
      </c>
      <c r="D509" s="20" t="s">
        <v>31</v>
      </c>
      <c r="E509" s="20">
        <v>0.6</v>
      </c>
      <c r="F509" s="20" t="s">
        <v>32</v>
      </c>
      <c r="G509" s="19">
        <v>40422</v>
      </c>
      <c r="H509" s="20" t="s">
        <v>98</v>
      </c>
      <c r="I509" s="20">
        <v>7</v>
      </c>
    </row>
    <row r="510" spans="1:9">
      <c r="A510" s="19">
        <v>40463</v>
      </c>
      <c r="B510" s="20">
        <v>2010</v>
      </c>
      <c r="C510" s="20" t="s">
        <v>17</v>
      </c>
      <c r="D510" s="20" t="s">
        <v>35</v>
      </c>
      <c r="E510" s="20">
        <v>10.5</v>
      </c>
      <c r="F510" s="20" t="s">
        <v>46</v>
      </c>
      <c r="G510" s="19">
        <v>40422</v>
      </c>
      <c r="H510" s="20" t="s">
        <v>98</v>
      </c>
      <c r="I510" s="20">
        <v>7</v>
      </c>
    </row>
    <row r="511" spans="1:9">
      <c r="A511" s="19">
        <v>40463</v>
      </c>
      <c r="B511" s="20">
        <v>2010</v>
      </c>
      <c r="C511" s="20" t="s">
        <v>17</v>
      </c>
      <c r="D511" s="20" t="s">
        <v>31</v>
      </c>
      <c r="E511" s="20">
        <v>0.9</v>
      </c>
      <c r="F511" s="20" t="s">
        <v>32</v>
      </c>
      <c r="G511" s="19">
        <v>40422</v>
      </c>
      <c r="H511" s="20" t="s">
        <v>98</v>
      </c>
      <c r="I511" s="20">
        <v>7</v>
      </c>
    </row>
    <row r="512" spans="1:9">
      <c r="A512" s="19">
        <v>40469</v>
      </c>
      <c r="B512" s="20">
        <v>2010</v>
      </c>
      <c r="C512" s="20">
        <v>4</v>
      </c>
      <c r="D512" s="20" t="s">
        <v>52</v>
      </c>
      <c r="E512" s="20">
        <v>9.6</v>
      </c>
      <c r="F512" s="20" t="s">
        <v>46</v>
      </c>
      <c r="G512" s="19">
        <v>40439</v>
      </c>
      <c r="H512" s="20" t="s">
        <v>88</v>
      </c>
      <c r="I512" s="20">
        <v>7</v>
      </c>
    </row>
    <row r="513" spans="1:9">
      <c r="A513" s="19">
        <v>40469</v>
      </c>
      <c r="B513" s="20">
        <v>2010</v>
      </c>
      <c r="C513" s="20">
        <v>4</v>
      </c>
      <c r="D513" s="20" t="s">
        <v>31</v>
      </c>
      <c r="E513" s="20">
        <v>0.6</v>
      </c>
      <c r="F513" s="20" t="s">
        <v>32</v>
      </c>
      <c r="G513" s="19">
        <v>40439</v>
      </c>
      <c r="H513" s="20" t="s">
        <v>88</v>
      </c>
      <c r="I513" s="20">
        <v>7</v>
      </c>
    </row>
    <row r="514" spans="1:9">
      <c r="A514" s="19">
        <v>40470</v>
      </c>
      <c r="B514" s="20">
        <v>2010</v>
      </c>
      <c r="C514" s="20">
        <v>4</v>
      </c>
      <c r="D514" s="20" t="s">
        <v>52</v>
      </c>
      <c r="E514" s="20">
        <v>9.6</v>
      </c>
      <c r="F514" s="20" t="s">
        <v>46</v>
      </c>
      <c r="G514" s="19">
        <v>40439</v>
      </c>
      <c r="H514" s="20" t="s">
        <v>88</v>
      </c>
      <c r="I514" s="20">
        <v>7</v>
      </c>
    </row>
    <row r="515" spans="1:9">
      <c r="A515" s="19">
        <v>40470</v>
      </c>
      <c r="B515" s="20">
        <v>2010</v>
      </c>
      <c r="C515" s="20">
        <v>4</v>
      </c>
      <c r="D515" s="20" t="s">
        <v>31</v>
      </c>
      <c r="E515" s="20">
        <v>0.6</v>
      </c>
      <c r="F515" s="20" t="s">
        <v>32</v>
      </c>
      <c r="G515" s="19">
        <v>40439</v>
      </c>
      <c r="H515" s="20" t="s">
        <v>88</v>
      </c>
      <c r="I515" s="20">
        <v>7</v>
      </c>
    </row>
    <row r="516" spans="1:9">
      <c r="A516" s="19">
        <v>40471</v>
      </c>
      <c r="B516" s="20">
        <v>2010</v>
      </c>
      <c r="C516" s="20">
        <v>4</v>
      </c>
      <c r="D516" s="20" t="s">
        <v>52</v>
      </c>
      <c r="E516" s="20">
        <v>8.4</v>
      </c>
      <c r="F516" s="20" t="s">
        <v>46</v>
      </c>
      <c r="G516" s="19">
        <v>40439</v>
      </c>
      <c r="H516" s="20" t="s">
        <v>88</v>
      </c>
      <c r="I516" s="20">
        <v>7</v>
      </c>
    </row>
    <row r="517" spans="1:9">
      <c r="A517" s="19">
        <v>40471</v>
      </c>
      <c r="B517" s="20">
        <v>2010</v>
      </c>
      <c r="C517" s="20">
        <v>4</v>
      </c>
      <c r="D517" s="20" t="s">
        <v>31</v>
      </c>
      <c r="E517" s="20">
        <v>0.6</v>
      </c>
      <c r="F517" s="20" t="s">
        <v>32</v>
      </c>
      <c r="G517" s="19">
        <v>40439</v>
      </c>
      <c r="H517" s="20" t="s">
        <v>88</v>
      </c>
      <c r="I517" s="20">
        <v>7</v>
      </c>
    </row>
    <row r="518" spans="1:9">
      <c r="A518" s="19">
        <v>40472</v>
      </c>
      <c r="B518" s="20">
        <v>2010</v>
      </c>
      <c r="C518" s="20">
        <v>4</v>
      </c>
      <c r="D518" s="20" t="s">
        <v>52</v>
      </c>
      <c r="E518" s="20">
        <v>4.2</v>
      </c>
      <c r="F518" s="20" t="s">
        <v>46</v>
      </c>
      <c r="G518" s="19">
        <v>40439</v>
      </c>
      <c r="H518" s="20" t="s">
        <v>88</v>
      </c>
      <c r="I518" s="20">
        <v>7</v>
      </c>
    </row>
    <row r="519" spans="1:9">
      <c r="A519" s="19">
        <v>40472</v>
      </c>
      <c r="B519" s="20">
        <v>2010</v>
      </c>
      <c r="C519" s="20" t="s">
        <v>17</v>
      </c>
      <c r="D519" s="20" t="s">
        <v>35</v>
      </c>
      <c r="E519" s="20">
        <v>2.4</v>
      </c>
      <c r="F519" s="20" t="s">
        <v>46</v>
      </c>
      <c r="G519" s="19">
        <v>40422</v>
      </c>
      <c r="H519" s="20" t="s">
        <v>98</v>
      </c>
      <c r="I519" s="20">
        <v>7</v>
      </c>
    </row>
    <row r="520" spans="1:9">
      <c r="A520" s="19">
        <v>40472</v>
      </c>
      <c r="B520" s="20">
        <v>2010</v>
      </c>
      <c r="C520" s="20" t="s">
        <v>17</v>
      </c>
      <c r="D520" s="20" t="s">
        <v>31</v>
      </c>
      <c r="E520" s="20">
        <v>0.3</v>
      </c>
      <c r="F520" s="20" t="s">
        <v>32</v>
      </c>
      <c r="G520" s="19">
        <v>40439</v>
      </c>
      <c r="H520" s="20" t="s">
        <v>88</v>
      </c>
      <c r="I520" s="20">
        <v>7</v>
      </c>
    </row>
    <row r="521" spans="1:9">
      <c r="A521" s="19">
        <v>40473</v>
      </c>
      <c r="B521" s="20">
        <v>2010</v>
      </c>
      <c r="C521" s="20" t="s">
        <v>17</v>
      </c>
      <c r="D521" s="20" t="s">
        <v>35</v>
      </c>
      <c r="E521" s="20">
        <v>4.8</v>
      </c>
      <c r="F521" s="20" t="s">
        <v>46</v>
      </c>
      <c r="G521" s="19">
        <v>40422</v>
      </c>
      <c r="H521" s="20" t="s">
        <v>98</v>
      </c>
      <c r="I521" s="20">
        <v>7</v>
      </c>
    </row>
    <row r="522" spans="1:9">
      <c r="A522" s="19">
        <v>40473</v>
      </c>
      <c r="B522" s="20">
        <v>2010</v>
      </c>
      <c r="C522" s="20" t="s">
        <v>17</v>
      </c>
      <c r="D522" s="20" t="s">
        <v>31</v>
      </c>
      <c r="E522" s="20">
        <v>0.9</v>
      </c>
      <c r="F522" s="20" t="s">
        <v>32</v>
      </c>
      <c r="G522" s="19">
        <v>40422</v>
      </c>
      <c r="H522" s="20" t="s">
        <v>98</v>
      </c>
      <c r="I522" s="20">
        <v>7</v>
      </c>
    </row>
    <row r="523" spans="1:9">
      <c r="A523" s="19">
        <v>40477</v>
      </c>
      <c r="B523" s="20">
        <v>2010</v>
      </c>
      <c r="C523" s="20">
        <v>4</v>
      </c>
      <c r="D523" s="20" t="s">
        <v>52</v>
      </c>
      <c r="E523" s="20">
        <v>0.6</v>
      </c>
      <c r="F523" s="20" t="s">
        <v>46</v>
      </c>
      <c r="G523" s="19">
        <v>40439</v>
      </c>
      <c r="H523" s="20" t="s">
        <v>88</v>
      </c>
      <c r="I523" s="20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268"/>
  <sheetViews>
    <sheetView workbookViewId="0">
      <pane xSplit="6" ySplit="8" topLeftCell="P9" activePane="bottomRight" state="frozen"/>
      <selection pane="bottomRight" activeCell="Q12" sqref="Q12"/>
      <selection pane="bottomLeft" activeCell="A9" sqref="A9"/>
      <selection pane="topRight" activeCell="H1" sqref="H1"/>
    </sheetView>
  </sheetViews>
  <sheetFormatPr defaultRowHeight="13.9"/>
  <cols>
    <col min="1" max="1" width="9.625" bestFit="1" customWidth="1"/>
    <col min="2" max="2" width="12.75" bestFit="1" customWidth="1"/>
    <col min="3" max="3" width="19.25" bestFit="1" customWidth="1"/>
    <col min="4" max="4" width="20.75" bestFit="1" customWidth="1"/>
    <col min="5" max="5" width="8.75" bestFit="1" customWidth="1"/>
    <col min="6" max="6" width="13.125" style="3" bestFit="1" customWidth="1"/>
    <col min="7" max="7" width="15.375" style="2" bestFit="1" customWidth="1"/>
    <col min="8" max="8" width="13.5" style="2" bestFit="1" customWidth="1"/>
    <col min="9" max="9" width="12" style="2" bestFit="1" customWidth="1"/>
    <col min="10" max="10" width="13.5" style="2" bestFit="1" customWidth="1"/>
    <col min="11" max="11" width="14.75" style="2" bestFit="1" customWidth="1"/>
    <col min="12" max="12" width="15.125" style="2" bestFit="1" customWidth="1"/>
    <col min="13" max="13" width="16.5" style="2" bestFit="1" customWidth="1"/>
    <col min="14" max="14" width="13.25" style="2" bestFit="1" customWidth="1"/>
    <col min="15" max="15" width="26.75" style="2" bestFit="1" customWidth="1"/>
    <col min="16" max="16" width="11.875" style="2" bestFit="1" customWidth="1"/>
    <col min="17" max="17" width="22.5" bestFit="1" customWidth="1"/>
  </cols>
  <sheetData>
    <row r="1" spans="1:17">
      <c r="A1" s="5" t="s">
        <v>101</v>
      </c>
      <c r="B1" s="5" t="s">
        <v>102</v>
      </c>
      <c r="C1" s="5" t="s">
        <v>103</v>
      </c>
      <c r="D1" s="5" t="s">
        <v>104</v>
      </c>
      <c r="E1" s="5" t="s">
        <v>105</v>
      </c>
      <c r="F1" s="8" t="s">
        <v>106</v>
      </c>
      <c r="G1" s="7" t="s">
        <v>107</v>
      </c>
      <c r="H1" s="7" t="s">
        <v>108</v>
      </c>
      <c r="I1" s="7" t="s">
        <v>109</v>
      </c>
      <c r="J1" s="7" t="s">
        <v>110</v>
      </c>
      <c r="K1" s="7" t="s">
        <v>111</v>
      </c>
      <c r="L1" s="7" t="s">
        <v>112</v>
      </c>
      <c r="M1" s="7" t="s">
        <v>113</v>
      </c>
      <c r="N1" s="7" t="s">
        <v>114</v>
      </c>
      <c r="O1" s="7" t="s">
        <v>115</v>
      </c>
      <c r="P1" s="7" t="s">
        <v>116</v>
      </c>
      <c r="Q1" s="5" t="s">
        <v>117</v>
      </c>
    </row>
    <row r="2" spans="1:17" hidden="1">
      <c r="A2" t="s">
        <v>118</v>
      </c>
      <c r="B2" t="s">
        <v>119</v>
      </c>
      <c r="C2" t="s">
        <v>120</v>
      </c>
      <c r="D2" t="s">
        <v>121</v>
      </c>
      <c r="E2">
        <v>2010</v>
      </c>
      <c r="F2" s="3">
        <v>-191777.99</v>
      </c>
      <c r="G2"/>
      <c r="H2"/>
      <c r="I2"/>
      <c r="J2"/>
      <c r="K2"/>
      <c r="L2"/>
      <c r="M2"/>
      <c r="N2"/>
      <c r="O2"/>
      <c r="P2"/>
      <c r="Q2" s="3">
        <f t="shared" ref="Q2:Q65" si="0">IF(F2&lt;0,F2*-1,F2)</f>
        <v>191777.99</v>
      </c>
    </row>
    <row r="3" spans="1:17" hidden="1">
      <c r="A3" t="s">
        <v>118</v>
      </c>
      <c r="B3" t="s">
        <v>122</v>
      </c>
      <c r="C3" t="s">
        <v>123</v>
      </c>
      <c r="D3" t="s">
        <v>124</v>
      </c>
      <c r="E3">
        <v>2010</v>
      </c>
      <c r="F3" s="3">
        <v>-6914.37</v>
      </c>
      <c r="G3"/>
      <c r="H3"/>
      <c r="I3"/>
      <c r="J3"/>
      <c r="K3"/>
      <c r="L3"/>
      <c r="M3"/>
      <c r="N3"/>
      <c r="O3"/>
      <c r="P3"/>
      <c r="Q3" s="3">
        <f t="shared" si="0"/>
        <v>6914.37</v>
      </c>
    </row>
    <row r="4" spans="1:17" hidden="1">
      <c r="A4" t="s">
        <v>118</v>
      </c>
      <c r="B4" t="s">
        <v>122</v>
      </c>
      <c r="C4" t="s">
        <v>123</v>
      </c>
      <c r="D4" t="s">
        <v>125</v>
      </c>
      <c r="E4">
        <v>2010</v>
      </c>
      <c r="F4" s="3">
        <v>-90708.9</v>
      </c>
      <c r="G4"/>
      <c r="H4"/>
      <c r="I4"/>
      <c r="J4"/>
      <c r="K4"/>
      <c r="L4"/>
      <c r="M4"/>
      <c r="N4"/>
      <c r="O4"/>
      <c r="P4"/>
      <c r="Q4" s="3">
        <f t="shared" si="0"/>
        <v>90708.9</v>
      </c>
    </row>
    <row r="5" spans="1:17" hidden="1">
      <c r="A5" t="s">
        <v>118</v>
      </c>
      <c r="B5" t="s">
        <v>122</v>
      </c>
      <c r="C5" t="s">
        <v>123</v>
      </c>
      <c r="D5" t="s">
        <v>126</v>
      </c>
      <c r="E5">
        <v>2010</v>
      </c>
      <c r="F5" s="3">
        <v>-2783.05</v>
      </c>
      <c r="G5"/>
      <c r="H5"/>
      <c r="I5"/>
      <c r="J5"/>
      <c r="K5"/>
      <c r="L5"/>
      <c r="M5"/>
      <c r="N5"/>
      <c r="O5"/>
      <c r="P5"/>
      <c r="Q5" s="3">
        <f t="shared" si="0"/>
        <v>2783.05</v>
      </c>
    </row>
    <row r="6" spans="1:17" hidden="1">
      <c r="A6" t="s">
        <v>118</v>
      </c>
      <c r="B6" t="s">
        <v>122</v>
      </c>
      <c r="C6" t="s">
        <v>127</v>
      </c>
      <c r="D6" t="s">
        <v>128</v>
      </c>
      <c r="E6">
        <v>2010</v>
      </c>
      <c r="F6" s="3">
        <v>-1302.28</v>
      </c>
      <c r="G6"/>
      <c r="H6"/>
      <c r="I6"/>
      <c r="J6"/>
      <c r="K6"/>
      <c r="L6"/>
      <c r="M6"/>
      <c r="N6"/>
      <c r="O6"/>
      <c r="P6"/>
      <c r="Q6" s="3">
        <f t="shared" si="0"/>
        <v>1302.28</v>
      </c>
    </row>
    <row r="7" spans="1:17" hidden="1">
      <c r="A7" t="s">
        <v>118</v>
      </c>
      <c r="B7" t="s">
        <v>122</v>
      </c>
      <c r="C7" t="s">
        <v>129</v>
      </c>
      <c r="D7" t="s">
        <v>130</v>
      </c>
      <c r="E7">
        <v>2010</v>
      </c>
      <c r="F7" s="3">
        <v>-630.17999999999995</v>
      </c>
      <c r="G7"/>
      <c r="H7"/>
      <c r="I7"/>
      <c r="J7"/>
      <c r="K7"/>
      <c r="L7"/>
      <c r="M7"/>
      <c r="N7"/>
      <c r="O7"/>
      <c r="P7"/>
      <c r="Q7" s="3">
        <f t="shared" si="0"/>
        <v>630.17999999999995</v>
      </c>
    </row>
    <row r="8" spans="1:17" hidden="1">
      <c r="A8" t="s">
        <v>118</v>
      </c>
      <c r="B8" t="s">
        <v>122</v>
      </c>
      <c r="C8" t="s">
        <v>129</v>
      </c>
      <c r="D8" t="s">
        <v>131</v>
      </c>
      <c r="E8">
        <v>2010</v>
      </c>
      <c r="F8" s="3">
        <v>-2694.78</v>
      </c>
      <c r="G8"/>
      <c r="H8"/>
      <c r="I8"/>
      <c r="J8"/>
      <c r="K8"/>
      <c r="L8"/>
      <c r="M8"/>
      <c r="N8"/>
      <c r="O8"/>
      <c r="P8"/>
      <c r="Q8" s="3">
        <f t="shared" si="0"/>
        <v>2694.78</v>
      </c>
    </row>
    <row r="9" spans="1:17">
      <c r="A9" t="s">
        <v>118</v>
      </c>
      <c r="B9" t="s">
        <v>132</v>
      </c>
      <c r="C9" t="s">
        <v>133</v>
      </c>
      <c r="D9" t="s">
        <v>133</v>
      </c>
      <c r="E9">
        <v>2010</v>
      </c>
      <c r="F9" s="3">
        <v>2019.23</v>
      </c>
      <c r="G9" s="2">
        <v>0</v>
      </c>
      <c r="H9" s="2">
        <v>0</v>
      </c>
      <c r="I9" s="2">
        <f>'Omzet&amp;Prijs'!$C$3/SUM('Omzet&amp;Prijs'!$C$2:$C$8)*$Q9</f>
        <v>842.70633124993492</v>
      </c>
      <c r="J9" s="2">
        <f>'Omzet&amp;Prijs'!$C$4/SUM('Omzet&amp;Prijs'!$C$2:$C$8)*$Q9</f>
        <v>227.89369021005481</v>
      </c>
      <c r="K9" s="2">
        <v>0</v>
      </c>
      <c r="L9" s="2">
        <f>'Omzet&amp;Prijs'!$C$6/SUM('Omzet&amp;Prijs'!$C$2:$C$8)*$Q9</f>
        <v>17.607917268655886</v>
      </c>
      <c r="M9" s="2">
        <f>'Omzet&amp;Prijs'!$C$5/SUM('Omzet&amp;Prijs'!$C$2:$C$8)*$Q9</f>
        <v>356.74069847693625</v>
      </c>
      <c r="N9" s="2">
        <f>'Omzet&amp;Prijs'!$C$8/SUM('Omzet&amp;Prijs'!$C$2:$C$8)*$Q9</f>
        <v>260.36956103580502</v>
      </c>
      <c r="O9" s="2">
        <f>'Omzet&amp;Prijs'!$C$7/SUM('Omzet&amp;Prijs'!$C$2:$C$8)*$Q9</f>
        <v>285.09923664753705</v>
      </c>
      <c r="P9" s="2">
        <f>'Omzet&amp;Prijs'!$C$2/SUM('Omzet&amp;Prijs'!$C$2:$C$8)*$Q9</f>
        <v>28.812565111076182</v>
      </c>
      <c r="Q9" s="3">
        <f t="shared" si="0"/>
        <v>2019.23</v>
      </c>
    </row>
    <row r="10" spans="1:17">
      <c r="A10" t="s">
        <v>118</v>
      </c>
      <c r="B10" t="s">
        <v>132</v>
      </c>
      <c r="C10" t="s">
        <v>134</v>
      </c>
      <c r="D10" t="s">
        <v>135</v>
      </c>
      <c r="E10">
        <v>2010</v>
      </c>
      <c r="F10" s="3">
        <f>4537.88+3535.79</f>
        <v>8073.67</v>
      </c>
      <c r="G10" s="2">
        <v>0</v>
      </c>
      <c r="H10" s="2">
        <v>0</v>
      </c>
      <c r="I10" s="2">
        <f>'Omzet&amp;Prijs'!$C$3/SUM('Omzet&amp;Prijs'!$C$2:$C$8)*$Q10</f>
        <v>3369.4689685784492</v>
      </c>
      <c r="J10" s="2">
        <f>'Omzet&amp;Prijs'!$C$4/SUM('Omzet&amp;Prijs'!$C$2:$C$8)*$Q10</f>
        <v>911.20796038005244</v>
      </c>
      <c r="K10" s="2">
        <v>0</v>
      </c>
      <c r="L10" s="2">
        <f>'Omzet&amp;Prijs'!$C$6/SUM('Omzet&amp;Prijs'!$C$2:$C$8)*$Q10</f>
        <v>70.403328701747185</v>
      </c>
      <c r="M10" s="2">
        <f>'Omzet&amp;Prijs'!$C$5/SUM('Omzet&amp;Prijs'!$C$2:$C$8)*$Q10</f>
        <v>1426.388611040984</v>
      </c>
      <c r="N10" s="2">
        <f>'Omzet&amp;Prijs'!$C$8/SUM('Omzet&amp;Prijs'!$C$2:$C$8)*$Q10</f>
        <v>1041.0591729758114</v>
      </c>
      <c r="O10" s="2">
        <f>'Omzet&amp;Prijs'!$C$7/SUM('Omzet&amp;Prijs'!$C$2:$C$8)*$Q10</f>
        <v>1139.9380724058776</v>
      </c>
      <c r="P10" s="2">
        <f>'Omzet&amp;Prijs'!$C$2/SUM('Omzet&amp;Prijs'!$C$2:$C$8)*$Q10</f>
        <v>115.20388591707851</v>
      </c>
      <c r="Q10" s="3">
        <f t="shared" si="0"/>
        <v>8073.67</v>
      </c>
    </row>
    <row r="11" spans="1:17">
      <c r="A11" t="s">
        <v>118</v>
      </c>
      <c r="B11" t="s">
        <v>132</v>
      </c>
      <c r="C11" t="s">
        <v>136</v>
      </c>
      <c r="D11" t="s">
        <v>137</v>
      </c>
      <c r="E11">
        <v>2010</v>
      </c>
      <c r="F11" s="3">
        <v>303.19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f>Q11</f>
        <v>303.19</v>
      </c>
      <c r="O11" s="2">
        <v>0</v>
      </c>
      <c r="P11" s="2">
        <v>0</v>
      </c>
      <c r="Q11" s="3">
        <f t="shared" si="0"/>
        <v>303.19</v>
      </c>
    </row>
    <row r="12" spans="1:17">
      <c r="A12" t="s">
        <v>118</v>
      </c>
      <c r="B12" t="s">
        <v>132</v>
      </c>
      <c r="C12" t="s">
        <v>138</v>
      </c>
      <c r="D12" t="s">
        <v>139</v>
      </c>
      <c r="E12">
        <v>2010</v>
      </c>
      <c r="F12" s="3">
        <v>1818.81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f>Q12</f>
        <v>1818.81</v>
      </c>
      <c r="O12" s="2">
        <v>0</v>
      </c>
      <c r="P12" s="2">
        <v>0</v>
      </c>
      <c r="Q12" s="3">
        <f t="shared" si="0"/>
        <v>1818.81</v>
      </c>
    </row>
    <row r="13" spans="1:17">
      <c r="A13" t="s">
        <v>118</v>
      </c>
      <c r="B13" t="s">
        <v>132</v>
      </c>
      <c r="C13" t="s">
        <v>140</v>
      </c>
      <c r="D13" t="s">
        <v>141</v>
      </c>
      <c r="E13">
        <v>2010</v>
      </c>
      <c r="F13" s="3">
        <v>1515.73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f>Q13</f>
        <v>1515.73</v>
      </c>
      <c r="O13" s="2">
        <v>0</v>
      </c>
      <c r="P13" s="2">
        <v>0</v>
      </c>
      <c r="Q13" s="3">
        <f t="shared" si="0"/>
        <v>1515.73</v>
      </c>
    </row>
    <row r="14" spans="1:17" hidden="1">
      <c r="A14" t="s">
        <v>123</v>
      </c>
      <c r="B14" t="s">
        <v>122</v>
      </c>
      <c r="C14" t="s">
        <v>123</v>
      </c>
      <c r="D14" t="s">
        <v>142</v>
      </c>
      <c r="E14">
        <v>2010</v>
      </c>
      <c r="F14" s="3">
        <f>-347.4+8846.36+85610.05+4865.82+2859.27+4323.2+80.17+-4323.2+-80.16</f>
        <v>101834.11000000002</v>
      </c>
      <c r="G14"/>
      <c r="H14"/>
      <c r="I14"/>
      <c r="J14"/>
      <c r="K14"/>
      <c r="L14"/>
      <c r="M14"/>
      <c r="N14"/>
      <c r="O14"/>
      <c r="P14"/>
      <c r="Q14" s="3">
        <f t="shared" si="0"/>
        <v>101834.11000000002</v>
      </c>
    </row>
    <row r="15" spans="1:17" hidden="1">
      <c r="A15" t="s">
        <v>132</v>
      </c>
      <c r="B15" t="s">
        <v>122</v>
      </c>
      <c r="C15" t="s">
        <v>143</v>
      </c>
      <c r="D15" t="s">
        <v>143</v>
      </c>
      <c r="E15">
        <v>2010</v>
      </c>
      <c r="F15" s="3">
        <v>17850</v>
      </c>
      <c r="G15"/>
      <c r="H15"/>
      <c r="I15"/>
      <c r="J15"/>
      <c r="K15"/>
      <c r="L15"/>
      <c r="M15"/>
      <c r="N15"/>
      <c r="O15"/>
      <c r="P15"/>
      <c r="Q15" s="3">
        <f t="shared" si="0"/>
        <v>17850</v>
      </c>
    </row>
    <row r="16" spans="1:17">
      <c r="A16" t="s">
        <v>132</v>
      </c>
      <c r="B16" t="s">
        <v>132</v>
      </c>
      <c r="C16" t="s">
        <v>144</v>
      </c>
      <c r="D16" t="s">
        <v>145</v>
      </c>
      <c r="E16">
        <v>2010</v>
      </c>
      <c r="F16" s="3">
        <v>18.16</v>
      </c>
      <c r="G16" s="2">
        <v>0</v>
      </c>
      <c r="H16" s="2">
        <v>0</v>
      </c>
      <c r="I16" s="2">
        <f>'Omzet&amp;Prijs'!$C$3/SUM('Omzet&amp;Prijs'!$C$2:$C$8)*$Q16</f>
        <v>7.5789023417336399</v>
      </c>
      <c r="J16" s="2">
        <f>'Omzet&amp;Prijs'!$C$4/SUM('Omzet&amp;Prijs'!$C$2:$C$8)*$Q16</f>
        <v>2.0495681097322223</v>
      </c>
      <c r="K16" s="2">
        <v>0</v>
      </c>
      <c r="L16" s="2">
        <f>'Omzet&amp;Prijs'!$C$6/SUM('Omzet&amp;Prijs'!$C$2:$C$8)*$Q16</f>
        <v>0.15835728351836637</v>
      </c>
      <c r="M16" s="2">
        <f>'Omzet&amp;Prijs'!$C$5/SUM('Omzet&amp;Prijs'!$C$2:$C$8)*$Q16</f>
        <v>3.2083571878097903</v>
      </c>
      <c r="N16" s="2">
        <f>'Omzet&amp;Prijs'!$C$8/SUM('Omzet&amp;Prijs'!$C$2:$C$8)*$Q16</f>
        <v>2.3416407385043896</v>
      </c>
      <c r="O16" s="2">
        <f>'Omzet&amp;Prijs'!$C$7/SUM('Omzet&amp;Prijs'!$C$2:$C$8)*$Q16</f>
        <v>2.5640477496467824</v>
      </c>
      <c r="P16" s="2">
        <f>'Omzet&amp;Prijs'!$C$2/SUM('Omzet&amp;Prijs'!$C$2:$C$8)*$Q16</f>
        <v>0.25912658905480973</v>
      </c>
      <c r="Q16" s="3">
        <f t="shared" si="0"/>
        <v>18.16</v>
      </c>
    </row>
    <row r="17" spans="1:17">
      <c r="A17" t="s">
        <v>132</v>
      </c>
      <c r="B17" t="s">
        <v>132</v>
      </c>
      <c r="C17" t="s">
        <v>144</v>
      </c>
      <c r="D17" t="s">
        <v>146</v>
      </c>
      <c r="E17">
        <v>2010</v>
      </c>
      <c r="F17" s="3">
        <v>56.5</v>
      </c>
      <c r="G17" s="2">
        <v>0</v>
      </c>
      <c r="H17" s="2">
        <v>0</v>
      </c>
      <c r="I17" s="2">
        <f>'Omzet&amp;Prijs'!$C$3/SUM('Omzet&amp;Prijs'!$C$2:$C$8)*$Q17</f>
        <v>23.579734708587591</v>
      </c>
      <c r="J17" s="2">
        <f>'Omzet&amp;Prijs'!$C$4/SUM('Omzet&amp;Prijs'!$C$2:$C$8)*$Q17</f>
        <v>6.3766849229003615</v>
      </c>
      <c r="K17" s="2">
        <v>0</v>
      </c>
      <c r="L17" s="2">
        <f>'Omzet&amp;Prijs'!$C$6/SUM('Omzet&amp;Prijs'!$C$2:$C$8)*$Q17</f>
        <v>0.492686482312098</v>
      </c>
      <c r="M17" s="2">
        <f>'Omzet&amp;Prijs'!$C$5/SUM('Omzet&amp;Prijs'!$C$2:$C$8)*$Q17</f>
        <v>9.9819482990778159</v>
      </c>
      <c r="N17" s="2">
        <f>'Omzet&amp;Prijs'!$C$8/SUM('Omzet&amp;Prijs'!$C$2:$C$8)*$Q17</f>
        <v>7.2853910641794064</v>
      </c>
      <c r="O17" s="2">
        <f>'Omzet&amp;Prijs'!$C$7/SUM('Omzet&amp;Prijs'!$C$2:$C$8)*$Q17</f>
        <v>7.9773512034715424</v>
      </c>
      <c r="P17" s="2">
        <f>'Omzet&amp;Prijs'!$C$2/SUM('Omzet&amp;Prijs'!$C$2:$C$8)*$Q17</f>
        <v>0.80620331947118673</v>
      </c>
      <c r="Q17" s="3">
        <f t="shared" si="0"/>
        <v>56.5</v>
      </c>
    </row>
    <row r="18" spans="1:17">
      <c r="A18" t="s">
        <v>132</v>
      </c>
      <c r="B18" t="s">
        <v>132</v>
      </c>
      <c r="C18" t="s">
        <v>147</v>
      </c>
      <c r="D18" t="s">
        <v>148</v>
      </c>
      <c r="E18">
        <v>2010</v>
      </c>
      <c r="F18" s="3">
        <v>150</v>
      </c>
      <c r="G18" s="2">
        <v>0</v>
      </c>
      <c r="H18" s="2">
        <v>0</v>
      </c>
      <c r="I18" s="2">
        <f>'Omzet&amp;Prijs'!$C$3/SUM('Omzet&amp;Prijs'!$C$2:$C$8)*$Q18</f>
        <v>62.601065598020156</v>
      </c>
      <c r="J18" s="2">
        <f>'Omzet&amp;Prijs'!$C$4/SUM('Omzet&amp;Prijs'!$C$2:$C$8)*$Q18</f>
        <v>16.929252007700075</v>
      </c>
      <c r="K18" s="2">
        <v>0</v>
      </c>
      <c r="L18" s="2">
        <f>'Omzet&amp;Prijs'!$C$6/SUM('Omzet&amp;Prijs'!$C$2:$C$8)*$Q18</f>
        <v>1.3080172096781362</v>
      </c>
      <c r="M18" s="2">
        <f>'Omzet&amp;Prijs'!$C$5/SUM('Omzet&amp;Prijs'!$C$2:$C$8)*$Q18</f>
        <v>26.500747696666767</v>
      </c>
      <c r="N18" s="2">
        <f>'Omzet&amp;Prijs'!$C$8/SUM('Omzet&amp;Prijs'!$C$2:$C$8)*$Q18</f>
        <v>19.341746188086919</v>
      </c>
      <c r="O18" s="2">
        <f>'Omzet&amp;Prijs'!$C$7/SUM('Omzet&amp;Prijs'!$C$2:$C$8)*$Q18</f>
        <v>21.178808504791707</v>
      </c>
      <c r="P18" s="2">
        <f>'Omzet&amp;Prijs'!$C$2/SUM('Omzet&amp;Prijs'!$C$2:$C$8)*$Q18</f>
        <v>2.140362795056248</v>
      </c>
      <c r="Q18" s="3">
        <f t="shared" si="0"/>
        <v>150</v>
      </c>
    </row>
    <row r="19" spans="1:17">
      <c r="A19" t="s">
        <v>132</v>
      </c>
      <c r="B19" t="s">
        <v>132</v>
      </c>
      <c r="C19" t="s">
        <v>149</v>
      </c>
      <c r="D19" t="s">
        <v>150</v>
      </c>
      <c r="E19">
        <v>2010</v>
      </c>
      <c r="F19" s="3">
        <v>955.79</v>
      </c>
      <c r="G19" s="2">
        <v>0</v>
      </c>
      <c r="H19" s="2">
        <v>0</v>
      </c>
      <c r="I19" s="2">
        <f>'Omzet&amp;Prijs'!$C$3/SUM('Omzet&amp;Prijs'!$C$2:$C$8)*$Q19</f>
        <v>398.88981658621123</v>
      </c>
      <c r="J19" s="2">
        <f>'Omzet&amp;Prijs'!$C$4/SUM('Omzet&amp;Prijs'!$C$2:$C$8)*$Q19</f>
        <v>107.87206517626436</v>
      </c>
      <c r="K19" s="2">
        <v>0</v>
      </c>
      <c r="L19" s="2">
        <f>'Omzet&amp;Prijs'!$C$6/SUM('Omzet&amp;Prijs'!$C$2:$C$8)*$Q19</f>
        <v>8.3345984589217714</v>
      </c>
      <c r="M19" s="2">
        <f>'Omzet&amp;Prijs'!$C$5/SUM('Omzet&amp;Prijs'!$C$2:$C$8)*$Q19</f>
        <v>168.86099760664752</v>
      </c>
      <c r="N19" s="2">
        <f>'Omzet&amp;Prijs'!$C$8/SUM('Omzet&amp;Prijs'!$C$2:$C$8)*$Q19</f>
        <v>123.24431726074397</v>
      </c>
      <c r="O19" s="2">
        <f>'Omzet&amp;Prijs'!$C$7/SUM('Omzet&amp;Prijs'!$C$2:$C$8)*$Q19</f>
        <v>134.94995587196576</v>
      </c>
      <c r="P19" s="2">
        <f>'Omzet&amp;Prijs'!$C$2/SUM('Omzet&amp;Prijs'!$C$2:$C$8)*$Q19</f>
        <v>13.638249039245407</v>
      </c>
      <c r="Q19" s="3">
        <f t="shared" si="0"/>
        <v>955.79</v>
      </c>
    </row>
    <row r="20" spans="1:17">
      <c r="A20" t="s">
        <v>132</v>
      </c>
      <c r="B20" t="s">
        <v>132</v>
      </c>
      <c r="C20" t="s">
        <v>123</v>
      </c>
      <c r="D20" t="s">
        <v>151</v>
      </c>
      <c r="E20">
        <v>2010</v>
      </c>
      <c r="F20" s="3">
        <v>0.23</v>
      </c>
      <c r="G20" s="2">
        <v>0</v>
      </c>
      <c r="H20" s="2">
        <v>0</v>
      </c>
      <c r="I20" s="2">
        <f>'Omzet&amp;Prijs'!$C$3/SUM('Omzet&amp;Prijs'!$C$2:$C$8)*$Q20</f>
        <v>9.5988300583630906E-2</v>
      </c>
      <c r="J20" s="2">
        <f>'Omzet&amp;Prijs'!$C$4/SUM('Omzet&amp;Prijs'!$C$2:$C$8)*$Q20</f>
        <v>2.5958186411806781E-2</v>
      </c>
      <c r="K20" s="2">
        <v>0</v>
      </c>
      <c r="L20" s="2">
        <f>'Omzet&amp;Prijs'!$C$6/SUM('Omzet&amp;Prijs'!$C$2:$C$8)*$Q20</f>
        <v>2.0056263881731424E-3</v>
      </c>
      <c r="M20" s="2">
        <f>'Omzet&amp;Prijs'!$C$5/SUM('Omzet&amp;Prijs'!$C$2:$C$8)*$Q20</f>
        <v>4.0634479801555712E-2</v>
      </c>
      <c r="N20" s="2">
        <f>'Omzet&amp;Prijs'!$C$8/SUM('Omzet&amp;Prijs'!$C$2:$C$8)*$Q20</f>
        <v>2.9657344155066611E-2</v>
      </c>
      <c r="O20" s="2">
        <f>'Omzet&amp;Prijs'!$C$7/SUM('Omzet&amp;Prijs'!$C$2:$C$8)*$Q20</f>
        <v>3.2474173040680621E-2</v>
      </c>
      <c r="P20" s="2">
        <f>'Omzet&amp;Prijs'!$C$2/SUM('Omzet&amp;Prijs'!$C$2:$C$8)*$Q20</f>
        <v>3.2818896190862468E-3</v>
      </c>
      <c r="Q20" s="3">
        <f t="shared" si="0"/>
        <v>0.23</v>
      </c>
    </row>
    <row r="21" spans="1:17">
      <c r="A21" t="s">
        <v>132</v>
      </c>
      <c r="B21" t="s">
        <v>132</v>
      </c>
      <c r="C21" t="s">
        <v>152</v>
      </c>
      <c r="D21" t="s">
        <v>153</v>
      </c>
      <c r="E21">
        <v>2010</v>
      </c>
      <c r="F21" s="3">
        <v>10657.92</v>
      </c>
      <c r="G21" s="10">
        <v>0</v>
      </c>
      <c r="H21" s="10">
        <v>0</v>
      </c>
      <c r="I21" s="10">
        <f>'Omzet&amp;Prijs'!$C$3/(SUM('Omzet&amp;Prijs'!$C$2:$C$8)-'Omzet&amp;Prijs'!$C$7)*$Q21</f>
        <v>5179.249945714625</v>
      </c>
      <c r="J21" s="10">
        <f>'Omzet&amp;Prijs'!$C$4/(SUM('Omzet&amp;Prijs'!$C$2:$C$8)-'Omzet&amp;Prijs'!$C$7)*$Q21</f>
        <v>1400.6283551927725</v>
      </c>
      <c r="K21" s="10">
        <v>0</v>
      </c>
      <c r="L21" s="10">
        <f>'Omzet&amp;Prijs'!$C$6/(SUM('Omzet&amp;Prijs'!$C$2:$C$8)-'Omzet&amp;Prijs'!$C$7)*$Q21</f>
        <v>108.21777548837024</v>
      </c>
      <c r="M21" s="10">
        <f>'Omzet&amp;Prijs'!$C$5/(SUM('Omzet&amp;Prijs'!$C$2:$C$8)-'Omzet&amp;Prijs'!$C$7)*$Q21</f>
        <v>2192.5185259737686</v>
      </c>
      <c r="N21" s="10">
        <f>'Omzet&amp;Prijs'!$C$8/(SUM('Omzet&amp;Prijs'!$C$2:$C$8)-'Omzet&amp;Prijs'!$C$7)*$Q21</f>
        <v>1600.2241645203474</v>
      </c>
      <c r="O21" s="10">
        <v>0</v>
      </c>
      <c r="P21" s="10">
        <f>'Omzet&amp;Prijs'!$C$2/(SUM('Omzet&amp;Prijs'!$C$2:$C$8)-'Omzet&amp;Prijs'!$C$7)*$Q21</f>
        <v>177.0812331101161</v>
      </c>
      <c r="Q21" s="3">
        <f t="shared" si="0"/>
        <v>10657.92</v>
      </c>
    </row>
    <row r="22" spans="1:17">
      <c r="A22" t="s">
        <v>132</v>
      </c>
      <c r="B22" t="s">
        <v>132</v>
      </c>
      <c r="C22" t="s">
        <v>154</v>
      </c>
      <c r="D22" t="s">
        <v>155</v>
      </c>
      <c r="E22">
        <v>2010</v>
      </c>
      <c r="F22" s="3">
        <v>1722.51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f>Q22</f>
        <v>1722.51</v>
      </c>
      <c r="O22" s="2">
        <v>0</v>
      </c>
      <c r="P22" s="2">
        <v>0</v>
      </c>
      <c r="Q22" s="3">
        <f t="shared" si="0"/>
        <v>1722.51</v>
      </c>
    </row>
    <row r="23" spans="1:17">
      <c r="A23" t="s">
        <v>132</v>
      </c>
      <c r="B23" t="s">
        <v>132</v>
      </c>
      <c r="C23" t="s">
        <v>156</v>
      </c>
      <c r="D23" t="s">
        <v>157</v>
      </c>
      <c r="E23">
        <v>2010</v>
      </c>
      <c r="F23" s="3">
        <v>449.51</v>
      </c>
      <c r="G23" s="2">
        <v>0</v>
      </c>
      <c r="H23" s="2">
        <v>0</v>
      </c>
      <c r="I23" s="2">
        <f>'Omzet&amp;Prijs'!$C$3/SUM('Omzet&amp;Prijs'!$C$2:$C$8)*$Q23</f>
        <v>187.59869997977358</v>
      </c>
      <c r="J23" s="2">
        <f>'Omzet&amp;Prijs'!$C$4/SUM('Omzet&amp;Prijs'!$C$2:$C$8)*$Q23</f>
        <v>50.732453799875067</v>
      </c>
      <c r="K23" s="2">
        <v>0</v>
      </c>
      <c r="L23" s="2">
        <f>'Omzet&amp;Prijs'!$C$6/SUM('Omzet&amp;Prijs'!$C$2:$C$8)*$Q23</f>
        <v>3.9197787728161266</v>
      </c>
      <c r="M23" s="2">
        <f>'Omzet&amp;Prijs'!$C$5/SUM('Omzet&amp;Prijs'!$C$2:$C$8)*$Q23</f>
        <v>79.415673980857861</v>
      </c>
      <c r="N23" s="2">
        <f>'Omzet&amp;Prijs'!$C$8/SUM('Omzet&amp;Prijs'!$C$2:$C$8)*$Q23</f>
        <v>57.962055526713009</v>
      </c>
      <c r="O23" s="2">
        <f>'Omzet&amp;Prijs'!$C$7/SUM('Omzet&amp;Prijs'!$C$2:$C$8)*$Q23</f>
        <v>63.467241406592798</v>
      </c>
      <c r="P23" s="2">
        <f>'Omzet&amp;Prijs'!$C$2/SUM('Omzet&amp;Prijs'!$C$2:$C$8)*$Q23</f>
        <v>6.41409653337156</v>
      </c>
      <c r="Q23" s="3">
        <f t="shared" si="0"/>
        <v>449.51</v>
      </c>
    </row>
    <row r="24" spans="1:17" hidden="1">
      <c r="A24" t="s">
        <v>132</v>
      </c>
      <c r="B24" t="s">
        <v>119</v>
      </c>
      <c r="C24" t="s">
        <v>158</v>
      </c>
      <c r="D24" t="s">
        <v>159</v>
      </c>
      <c r="E24">
        <v>2010</v>
      </c>
      <c r="F24" s="3">
        <v>-3257.52</v>
      </c>
      <c r="G24"/>
      <c r="H24"/>
      <c r="I24"/>
      <c r="J24"/>
      <c r="K24"/>
      <c r="L24"/>
      <c r="M24"/>
      <c r="N24"/>
      <c r="O24"/>
      <c r="P24"/>
      <c r="Q24" s="3">
        <f t="shared" si="0"/>
        <v>3257.52</v>
      </c>
    </row>
    <row r="25" spans="1:17">
      <c r="A25" t="s">
        <v>132</v>
      </c>
      <c r="B25" t="s">
        <v>132</v>
      </c>
      <c r="C25" t="s">
        <v>160</v>
      </c>
      <c r="D25" t="s">
        <v>161</v>
      </c>
      <c r="E25">
        <v>2010</v>
      </c>
      <c r="F25" s="3">
        <f>5774.79+958.97</f>
        <v>6733.76</v>
      </c>
      <c r="G25" s="10">
        <v>0</v>
      </c>
      <c r="H25" s="10">
        <v>0</v>
      </c>
      <c r="I25" s="10">
        <f>'Omzet&amp;Prijs'!$C$3/(SUM('Omzet&amp;Prijs'!$C$2:$C$8)-'Omzet&amp;Prijs'!$C$7)*$Q25</f>
        <v>3272.2919776518606</v>
      </c>
      <c r="J25" s="10">
        <f>'Omzet&amp;Prijs'!$C$4/(SUM('Omzet&amp;Prijs'!$C$2:$C$8)-'Omzet&amp;Prijs'!$C$7)*$Q25</f>
        <v>884.92831556841145</v>
      </c>
      <c r="K25" s="10">
        <v>0</v>
      </c>
      <c r="L25" s="10">
        <f>'Omzet&amp;Prijs'!$C$6/(SUM('Omzet&amp;Prijs'!$C$2:$C$8)-'Omzet&amp;Prijs'!$C$7)*$Q25</f>
        <v>68.372865237548041</v>
      </c>
      <c r="M25" s="10">
        <f>'Omzet&amp;Prijs'!$C$5/(SUM('Omzet&amp;Prijs'!$C$2:$C$8)-'Omzet&amp;Prijs'!$C$7)*$Q25</f>
        <v>1385.2509260213178</v>
      </c>
      <c r="N25" s="10">
        <f>'Omzet&amp;Prijs'!$C$8/(SUM('Omzet&amp;Prijs'!$C$2:$C$8)-'Omzet&amp;Prijs'!$C$7)*$Q25</f>
        <v>1011.0345611602014</v>
      </c>
      <c r="O25" s="10">
        <v>0</v>
      </c>
      <c r="P25" s="10">
        <f>'Omzet&amp;Prijs'!$C$2/(SUM('Omzet&amp;Prijs'!$C$2:$C$8)-'Omzet&amp;Prijs'!$C$7)*$Q25</f>
        <v>111.88135436066094</v>
      </c>
      <c r="Q25" s="3">
        <f t="shared" si="0"/>
        <v>6733.76</v>
      </c>
    </row>
    <row r="26" spans="1:17" hidden="1">
      <c r="A26" t="s">
        <v>132</v>
      </c>
      <c r="B26" t="s">
        <v>122</v>
      </c>
      <c r="C26" t="s">
        <v>162</v>
      </c>
      <c r="D26" t="s">
        <v>163</v>
      </c>
      <c r="E26">
        <v>2010</v>
      </c>
      <c r="F26" s="3">
        <v>-733.8</v>
      </c>
      <c r="G26"/>
      <c r="H26"/>
      <c r="I26"/>
      <c r="J26"/>
      <c r="K26"/>
      <c r="L26"/>
      <c r="M26"/>
      <c r="N26"/>
      <c r="O26"/>
      <c r="P26"/>
      <c r="Q26" s="3">
        <f t="shared" si="0"/>
        <v>733.8</v>
      </c>
    </row>
    <row r="27" spans="1:17">
      <c r="A27" t="s">
        <v>132</v>
      </c>
      <c r="B27" t="s">
        <v>132</v>
      </c>
      <c r="C27" t="s">
        <v>156</v>
      </c>
      <c r="D27" t="s">
        <v>164</v>
      </c>
      <c r="E27">
        <v>2010</v>
      </c>
      <c r="F27" s="3">
        <v>53.75</v>
      </c>
      <c r="G27" s="2">
        <v>0</v>
      </c>
      <c r="H27" s="2">
        <v>0</v>
      </c>
      <c r="I27" s="2">
        <f>'Omzet&amp;Prijs'!$C$3/SUM('Omzet&amp;Prijs'!$C$2:$C$8)*$Q27</f>
        <v>22.432048505957223</v>
      </c>
      <c r="J27" s="2">
        <f>'Omzet&amp;Prijs'!$C$4/SUM('Omzet&amp;Prijs'!$C$2:$C$8)*$Q27</f>
        <v>6.0663153027591932</v>
      </c>
      <c r="K27" s="2">
        <v>0</v>
      </c>
      <c r="L27" s="2">
        <f>'Omzet&amp;Prijs'!$C$6/SUM('Omzet&amp;Prijs'!$C$2:$C$8)*$Q27</f>
        <v>0.46870616680133215</v>
      </c>
      <c r="M27" s="2">
        <f>'Omzet&amp;Prijs'!$C$5/SUM('Omzet&amp;Prijs'!$C$2:$C$8)*$Q27</f>
        <v>9.4961012579722581</v>
      </c>
      <c r="N27" s="2">
        <f>'Omzet&amp;Prijs'!$C$8/SUM('Omzet&amp;Prijs'!$C$2:$C$8)*$Q27</f>
        <v>6.9307923840644792</v>
      </c>
      <c r="O27" s="2">
        <f>'Omzet&amp;Prijs'!$C$7/SUM('Omzet&amp;Prijs'!$C$2:$C$8)*$Q27</f>
        <v>7.5890730475503609</v>
      </c>
      <c r="P27" s="2">
        <f>'Omzet&amp;Prijs'!$C$2/SUM('Omzet&amp;Prijs'!$C$2:$C$8)*$Q27</f>
        <v>0.76696333489515556</v>
      </c>
      <c r="Q27" s="3">
        <f t="shared" si="0"/>
        <v>53.75</v>
      </c>
    </row>
    <row r="28" spans="1:17" ht="14.45" thickBot="1">
      <c r="A28" s="11" t="s">
        <v>132</v>
      </c>
      <c r="B28" s="11" t="s">
        <v>132</v>
      </c>
      <c r="C28" s="11" t="s">
        <v>165</v>
      </c>
      <c r="D28" s="11" t="s">
        <v>165</v>
      </c>
      <c r="E28" s="11">
        <v>2010</v>
      </c>
      <c r="F28" s="12">
        <v>250</v>
      </c>
      <c r="G28" s="13">
        <v>0</v>
      </c>
      <c r="H28" s="13">
        <v>0</v>
      </c>
      <c r="I28" s="13">
        <f>'Omzet&amp;Prijs'!$C$3/SUM('Omzet&amp;Prijs'!$C$2:$C$8)*$Q28</f>
        <v>104.33510933003359</v>
      </c>
      <c r="J28" s="13">
        <f>'Omzet&amp;Prijs'!$C$4/SUM('Omzet&amp;Prijs'!$C$2:$C$8)*$Q28</f>
        <v>28.215420012833459</v>
      </c>
      <c r="K28" s="13">
        <v>0</v>
      </c>
      <c r="L28" s="13">
        <f>'Omzet&amp;Prijs'!$C$6/SUM('Omzet&amp;Prijs'!$C$2:$C$8)*$Q28</f>
        <v>2.1800286827968938</v>
      </c>
      <c r="M28" s="13">
        <f>'Omzet&amp;Prijs'!$C$5/SUM('Omzet&amp;Prijs'!$C$2:$C$8)*$Q28</f>
        <v>44.167912827777947</v>
      </c>
      <c r="N28" s="13">
        <f>'Omzet&amp;Prijs'!$C$8/SUM('Omzet&amp;Prijs'!$C$2:$C$8)*$Q28</f>
        <v>32.236243646811531</v>
      </c>
      <c r="O28" s="13">
        <f>'Omzet&amp;Prijs'!$C$7/SUM('Omzet&amp;Prijs'!$C$2:$C$8)*$Q28</f>
        <v>35.298014174652842</v>
      </c>
      <c r="P28" s="13">
        <f>'Omzet&amp;Prijs'!$C$2/SUM('Omzet&amp;Prijs'!$C$2:$C$8)*$Q28</f>
        <v>3.5672713250937464</v>
      </c>
      <c r="Q28" s="12">
        <f t="shared" si="0"/>
        <v>250</v>
      </c>
    </row>
    <row r="29" spans="1:17" hidden="1">
      <c r="A29" t="s">
        <v>132</v>
      </c>
      <c r="B29" t="s">
        <v>122</v>
      </c>
      <c r="C29" t="s">
        <v>166</v>
      </c>
      <c r="D29" t="s">
        <v>166</v>
      </c>
      <c r="E29">
        <v>2010</v>
      </c>
      <c r="F29" s="3">
        <f>175.11+-9404.32</f>
        <v>-9229.2099999999991</v>
      </c>
      <c r="G29" s="3"/>
      <c r="H29"/>
      <c r="I29"/>
      <c r="J29"/>
      <c r="K29"/>
      <c r="L29"/>
      <c r="M29"/>
      <c r="N29"/>
      <c r="O29"/>
      <c r="P29"/>
      <c r="Q29" s="3">
        <f t="shared" si="0"/>
        <v>9229.2099999999991</v>
      </c>
    </row>
    <row r="30" spans="1:17" hidden="1">
      <c r="A30" t="s">
        <v>118</v>
      </c>
      <c r="B30" t="s">
        <v>119</v>
      </c>
      <c r="C30" t="s">
        <v>120</v>
      </c>
      <c r="D30" t="s">
        <v>121</v>
      </c>
      <c r="E30">
        <v>2011</v>
      </c>
      <c r="F30" s="3">
        <v>-151790.75</v>
      </c>
      <c r="G30"/>
      <c r="H30"/>
      <c r="I30"/>
      <c r="J30"/>
      <c r="K30"/>
      <c r="L30"/>
      <c r="M30"/>
      <c r="N30"/>
      <c r="O30"/>
      <c r="P30"/>
      <c r="Q30" s="3">
        <f t="shared" si="0"/>
        <v>151790.75</v>
      </c>
    </row>
    <row r="31" spans="1:17" hidden="1">
      <c r="A31" t="s">
        <v>118</v>
      </c>
      <c r="B31" t="s">
        <v>122</v>
      </c>
      <c r="C31" t="s">
        <v>123</v>
      </c>
      <c r="D31" t="s">
        <v>124</v>
      </c>
      <c r="E31">
        <v>2011</v>
      </c>
      <c r="F31" s="3">
        <v>-6136.23</v>
      </c>
      <c r="G31"/>
      <c r="H31"/>
      <c r="I31"/>
      <c r="J31"/>
      <c r="K31"/>
      <c r="L31"/>
      <c r="M31"/>
      <c r="N31"/>
      <c r="O31"/>
      <c r="P31"/>
      <c r="Q31" s="3">
        <f t="shared" si="0"/>
        <v>6136.23</v>
      </c>
    </row>
    <row r="32" spans="1:17" hidden="1">
      <c r="A32" t="s">
        <v>118</v>
      </c>
      <c r="B32" t="s">
        <v>122</v>
      </c>
      <c r="C32" t="s">
        <v>123</v>
      </c>
      <c r="D32" t="s">
        <v>125</v>
      </c>
      <c r="E32">
        <v>2011</v>
      </c>
      <c r="F32" s="3">
        <v>-43148.4</v>
      </c>
      <c r="G32"/>
      <c r="H32"/>
      <c r="I32"/>
      <c r="J32"/>
      <c r="K32"/>
      <c r="L32"/>
      <c r="M32"/>
      <c r="N32"/>
      <c r="O32"/>
      <c r="P32"/>
      <c r="Q32" s="3">
        <f t="shared" si="0"/>
        <v>43148.4</v>
      </c>
    </row>
    <row r="33" spans="1:17" hidden="1">
      <c r="A33" t="s">
        <v>118</v>
      </c>
      <c r="B33" t="s">
        <v>122</v>
      </c>
      <c r="C33" t="s">
        <v>123</v>
      </c>
      <c r="D33" t="s">
        <v>126</v>
      </c>
      <c r="E33">
        <v>2011</v>
      </c>
      <c r="F33" s="3">
        <v>-2802.35</v>
      </c>
      <c r="G33"/>
      <c r="H33"/>
      <c r="I33"/>
      <c r="J33"/>
      <c r="K33"/>
      <c r="L33"/>
      <c r="M33"/>
      <c r="N33"/>
      <c r="O33"/>
      <c r="P33"/>
      <c r="Q33" s="3">
        <f t="shared" si="0"/>
        <v>2802.35</v>
      </c>
    </row>
    <row r="34" spans="1:17" hidden="1">
      <c r="A34" t="s">
        <v>118</v>
      </c>
      <c r="B34" t="s">
        <v>122</v>
      </c>
      <c r="C34" t="s">
        <v>127</v>
      </c>
      <c r="D34" t="s">
        <v>128</v>
      </c>
      <c r="E34">
        <v>2011</v>
      </c>
      <c r="F34" s="3">
        <v>-953.8</v>
      </c>
      <c r="G34"/>
      <c r="H34"/>
      <c r="I34"/>
      <c r="J34"/>
      <c r="K34"/>
      <c r="L34"/>
      <c r="M34"/>
      <c r="N34"/>
      <c r="O34"/>
      <c r="P34"/>
      <c r="Q34" s="3">
        <f t="shared" si="0"/>
        <v>953.8</v>
      </c>
    </row>
    <row r="35" spans="1:17" hidden="1">
      <c r="A35" t="s">
        <v>118</v>
      </c>
      <c r="B35" t="s">
        <v>122</v>
      </c>
      <c r="C35" t="s">
        <v>129</v>
      </c>
      <c r="D35" t="s">
        <v>130</v>
      </c>
      <c r="E35">
        <v>2011</v>
      </c>
      <c r="F35" s="3">
        <v>-890.12</v>
      </c>
      <c r="G35"/>
      <c r="H35"/>
      <c r="I35"/>
      <c r="J35"/>
      <c r="K35"/>
      <c r="L35"/>
      <c r="M35"/>
      <c r="N35"/>
      <c r="O35"/>
      <c r="P35"/>
      <c r="Q35" s="3">
        <f t="shared" si="0"/>
        <v>890.12</v>
      </c>
    </row>
    <row r="36" spans="1:17" hidden="1">
      <c r="A36" t="s">
        <v>118</v>
      </c>
      <c r="B36" t="s">
        <v>122</v>
      </c>
      <c r="C36" t="s">
        <v>129</v>
      </c>
      <c r="D36" t="s">
        <v>131</v>
      </c>
      <c r="E36">
        <v>2011</v>
      </c>
      <c r="F36" s="3">
        <v>-2109.5500000000002</v>
      </c>
      <c r="G36"/>
      <c r="H36"/>
      <c r="I36"/>
      <c r="J36"/>
      <c r="K36"/>
      <c r="L36"/>
      <c r="M36"/>
      <c r="N36"/>
      <c r="O36"/>
      <c r="P36"/>
      <c r="Q36" s="3">
        <f t="shared" si="0"/>
        <v>2109.5500000000002</v>
      </c>
    </row>
    <row r="37" spans="1:17">
      <c r="A37" t="s">
        <v>118</v>
      </c>
      <c r="B37" t="s">
        <v>132</v>
      </c>
      <c r="C37" t="s">
        <v>133</v>
      </c>
      <c r="D37" t="s">
        <v>133</v>
      </c>
      <c r="E37">
        <v>2011</v>
      </c>
      <c r="F37" s="3">
        <v>1183.42</v>
      </c>
      <c r="G37" s="2">
        <v>0</v>
      </c>
      <c r="H37" s="14">
        <f>'Omzet&amp;Prijs'!$C$15/SUM('Omzet&amp;Prijs'!$C$9:$C$16)*$Q37</f>
        <v>1.0266310408408874</v>
      </c>
      <c r="I37" s="14">
        <f>'Omzet&amp;Prijs'!$C$10/SUM('Omzet&amp;Prijs'!$C$9:$C$16)*$Q37</f>
        <v>267.92083602919257</v>
      </c>
      <c r="J37" s="14">
        <f>'Omzet&amp;Prijs'!$C$11/SUM('Omzet&amp;Prijs'!$C$9:$C$16)*$Q37</f>
        <v>151.56807366596371</v>
      </c>
      <c r="K37" s="14">
        <v>0</v>
      </c>
      <c r="L37" s="14">
        <f>'Omzet&amp;Prijs'!$C$12/SUM('Omzet&amp;Prijs'!$C$9:$C$16)*$Q37</f>
        <v>212.29983283832573</v>
      </c>
      <c r="M37" s="14">
        <f>'Omzet&amp;Prijs'!$C$13/SUM('Omzet&amp;Prijs'!$C$9:$C$16)*$Q37</f>
        <v>48.895636572412812</v>
      </c>
      <c r="N37" s="14">
        <f>'Omzet&amp;Prijs'!$C$16/SUM('Omzet&amp;Prijs'!$C$9:$C$16)*$Q37</f>
        <v>174.71580373408707</v>
      </c>
      <c r="O37" s="14">
        <f>'Omzet&amp;Prijs'!$C$14/SUM('Omzet&amp;Prijs'!$C$9:$C$16)*$Q37</f>
        <v>300.03012178291061</v>
      </c>
      <c r="P37" s="14">
        <f>'Omzet&amp;Prijs'!$C$9/SUM('Omzet&amp;Prijs'!$C$9:$C$16)*$Q37</f>
        <v>26.96306433626658</v>
      </c>
      <c r="Q37" s="3">
        <f t="shared" si="0"/>
        <v>1183.42</v>
      </c>
    </row>
    <row r="38" spans="1:17">
      <c r="A38" t="s">
        <v>118</v>
      </c>
      <c r="B38" t="s">
        <v>132</v>
      </c>
      <c r="C38" t="s">
        <v>134</v>
      </c>
      <c r="D38" t="s">
        <v>135</v>
      </c>
      <c r="E38">
        <v>2011</v>
      </c>
      <c r="F38" s="3">
        <f>4537.84+2136.24</f>
        <v>6674.08</v>
      </c>
      <c r="G38" s="2">
        <v>0</v>
      </c>
      <c r="H38" s="14">
        <f>'Omzet&amp;Prijs'!$C$15/SUM('Omzet&amp;Prijs'!$C$9:$C$16)*$Q38</f>
        <v>5.7898444314405273</v>
      </c>
      <c r="I38" s="14">
        <f>'Omzet&amp;Prijs'!$C$10/SUM('Omzet&amp;Prijs'!$C$9:$C$16)*$Q38</f>
        <v>1510.9809647679722</v>
      </c>
      <c r="J38" s="14">
        <f>'Omzet&amp;Prijs'!$C$11/SUM('Omzet&amp;Prijs'!$C$9:$C$16)*$Q38</f>
        <v>854.79157787812869</v>
      </c>
      <c r="K38" s="14">
        <v>0</v>
      </c>
      <c r="L38" s="14">
        <f>'Omzet&amp;Prijs'!$C$12/SUM('Omzet&amp;Prijs'!$C$9:$C$16)*$Q38</f>
        <v>1197.2977204623996</v>
      </c>
      <c r="M38" s="14">
        <f>'Omzet&amp;Prijs'!$C$13/SUM('Omzet&amp;Prijs'!$C$9:$C$16)*$Q38</f>
        <v>275.75449978469931</v>
      </c>
      <c r="N38" s="14">
        <f>'Omzet&amp;Prijs'!$C$16/SUM('Omzet&amp;Prijs'!$C$9:$C$16)*$Q38</f>
        <v>985.33677932229955</v>
      </c>
      <c r="O38" s="14">
        <f>'Omzet&amp;Prijs'!$C$14/SUM('Omzet&amp;Prijs'!$C$9:$C$16)*$Q38</f>
        <v>1692.0662446036808</v>
      </c>
      <c r="P38" s="14">
        <f>'Omzet&amp;Prijs'!$C$9/SUM('Omzet&amp;Prijs'!$C$9:$C$16)*$Q38</f>
        <v>152.06236874937895</v>
      </c>
      <c r="Q38" s="3">
        <f t="shared" si="0"/>
        <v>6674.08</v>
      </c>
    </row>
    <row r="39" spans="1:17">
      <c r="A39" t="s">
        <v>118</v>
      </c>
      <c r="B39" t="s">
        <v>132</v>
      </c>
      <c r="C39" t="s">
        <v>136</v>
      </c>
      <c r="D39" t="s">
        <v>137</v>
      </c>
      <c r="E39">
        <v>2011</v>
      </c>
      <c r="F39" s="3">
        <v>234.02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f>Q39</f>
        <v>234.02</v>
      </c>
      <c r="O39" s="2">
        <v>0</v>
      </c>
      <c r="P39" s="2">
        <v>0</v>
      </c>
      <c r="Q39" s="3">
        <f t="shared" si="0"/>
        <v>234.02</v>
      </c>
    </row>
    <row r="40" spans="1:17">
      <c r="A40" t="s">
        <v>118</v>
      </c>
      <c r="B40" t="s">
        <v>132</v>
      </c>
      <c r="C40" t="s">
        <v>138</v>
      </c>
      <c r="D40" t="s">
        <v>139</v>
      </c>
      <c r="E40">
        <v>2011</v>
      </c>
      <c r="F40" s="3">
        <v>1404.03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f>Q40</f>
        <v>1404.03</v>
      </c>
      <c r="O40" s="2">
        <v>0</v>
      </c>
      <c r="P40" s="2">
        <v>0</v>
      </c>
      <c r="Q40" s="3">
        <f t="shared" si="0"/>
        <v>1404.03</v>
      </c>
    </row>
    <row r="41" spans="1:17">
      <c r="A41" t="s">
        <v>118</v>
      </c>
      <c r="B41" t="s">
        <v>132</v>
      </c>
      <c r="C41" t="s">
        <v>140</v>
      </c>
      <c r="D41" t="s">
        <v>141</v>
      </c>
      <c r="E41">
        <v>2011</v>
      </c>
      <c r="F41" s="3">
        <v>1170.03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f>Q41</f>
        <v>1170.03</v>
      </c>
      <c r="O41" s="2">
        <v>0</v>
      </c>
      <c r="P41" s="2">
        <v>0</v>
      </c>
      <c r="Q41" s="3">
        <f t="shared" si="0"/>
        <v>1170.03</v>
      </c>
    </row>
    <row r="42" spans="1:17" hidden="1">
      <c r="A42" t="s">
        <v>123</v>
      </c>
      <c r="B42" t="s">
        <v>122</v>
      </c>
      <c r="C42" t="s">
        <v>123</v>
      </c>
      <c r="D42" t="s">
        <v>142</v>
      </c>
      <c r="E42">
        <v>2011</v>
      </c>
      <c r="F42" s="3">
        <f>-731.27+-1592.22+8231.02+45848.14+4165.43+2973.9+-109.5+1544.4+1986.97+138.62+-1521.24+-1986.97+-133.94</f>
        <v>58813.340000000004</v>
      </c>
      <c r="G42"/>
      <c r="H42"/>
      <c r="I42"/>
      <c r="J42"/>
      <c r="K42"/>
      <c r="L42"/>
      <c r="M42"/>
      <c r="N42"/>
      <c r="O42"/>
      <c r="P42"/>
      <c r="Q42" s="3">
        <f t="shared" si="0"/>
        <v>58813.340000000004</v>
      </c>
    </row>
    <row r="43" spans="1:17" hidden="1">
      <c r="A43" t="s">
        <v>132</v>
      </c>
      <c r="B43" t="s">
        <v>122</v>
      </c>
      <c r="C43" t="s">
        <v>143</v>
      </c>
      <c r="D43" t="s">
        <v>143</v>
      </c>
      <c r="E43">
        <v>2011</v>
      </c>
      <c r="F43" s="3">
        <v>17820</v>
      </c>
      <c r="G43"/>
      <c r="H43"/>
      <c r="I43"/>
      <c r="J43"/>
      <c r="K43"/>
      <c r="L43"/>
      <c r="M43"/>
      <c r="N43"/>
      <c r="O43"/>
      <c r="P43"/>
      <c r="Q43" s="3">
        <f t="shared" si="0"/>
        <v>17820</v>
      </c>
    </row>
    <row r="44" spans="1:17">
      <c r="A44" t="s">
        <v>132</v>
      </c>
      <c r="B44" t="s">
        <v>132</v>
      </c>
      <c r="C44" t="s">
        <v>144</v>
      </c>
      <c r="D44" t="s">
        <v>145</v>
      </c>
      <c r="E44">
        <v>2011</v>
      </c>
      <c r="F44" s="3">
        <v>9.08</v>
      </c>
      <c r="G44" s="2">
        <v>0</v>
      </c>
      <c r="H44" s="14">
        <f>'Omzet&amp;Prijs'!$C$15/SUM('Omzet&amp;Prijs'!$C$9:$C$16)*$Q44</f>
        <v>7.8770088817454974E-3</v>
      </c>
      <c r="I44" s="14">
        <f>'Omzet&amp;Prijs'!$C$10/SUM('Omzet&amp;Prijs'!$C$9:$C$16)*$Q44</f>
        <v>2.0556701687862877</v>
      </c>
      <c r="J44" s="14">
        <f>'Omzet&amp;Prijs'!$C$11/SUM('Omzet&amp;Prijs'!$C$9:$C$16)*$Q44</f>
        <v>1.1629329476322443</v>
      </c>
      <c r="K44" s="14">
        <v>0</v>
      </c>
      <c r="L44" s="14">
        <f>'Omzet&amp;Prijs'!$C$12/SUM('Omzet&amp;Prijs'!$C$9:$C$16)*$Q44</f>
        <v>1.6289081494076469</v>
      </c>
      <c r="M44" s="14">
        <f>'Omzet&amp;Prijs'!$C$13/SUM('Omzet&amp;Prijs'!$C$9:$C$16)*$Q44</f>
        <v>0.37516045028604239</v>
      </c>
      <c r="N44" s="14">
        <f>'Omzet&amp;Prijs'!$C$16/SUM('Omzet&amp;Prijs'!$C$9:$C$16)*$Q44</f>
        <v>1.3405380151641095</v>
      </c>
      <c r="O44" s="14">
        <f>'Omzet&amp;Prijs'!$C$14/SUM('Omzet&amp;Prijs'!$C$9:$C$16)*$Q44</f>
        <v>2.3020343629386257</v>
      </c>
      <c r="P44" s="14">
        <f>'Omzet&amp;Prijs'!$C$9/SUM('Omzet&amp;Prijs'!$C$9:$C$16)*$Q44</f>
        <v>0.20687889690329767</v>
      </c>
      <c r="Q44" s="3">
        <f t="shared" si="0"/>
        <v>9.08</v>
      </c>
    </row>
    <row r="45" spans="1:17">
      <c r="A45" t="s">
        <v>132</v>
      </c>
      <c r="B45" t="s">
        <v>132</v>
      </c>
      <c r="C45" t="s">
        <v>144</v>
      </c>
      <c r="D45" t="s">
        <v>146</v>
      </c>
      <c r="E45">
        <v>2011</v>
      </c>
      <c r="F45" s="3">
        <v>48.59</v>
      </c>
      <c r="G45" s="2">
        <v>0</v>
      </c>
      <c r="H45" s="14">
        <f>'Omzet&amp;Prijs'!$C$15/SUM('Omzet&amp;Prijs'!$C$9:$C$16)*$Q45</f>
        <v>4.2152407661234993E-2</v>
      </c>
      <c r="I45" s="14">
        <f>'Omzet&amp;Prijs'!$C$10/SUM('Omzet&amp;Prijs'!$C$9:$C$16)*$Q45</f>
        <v>11.000552147723097</v>
      </c>
      <c r="J45" s="14">
        <f>'Omzet&amp;Prijs'!$C$11/SUM('Omzet&amp;Prijs'!$C$9:$C$16)*$Q45</f>
        <v>6.2232281856223297</v>
      </c>
      <c r="K45" s="14">
        <v>0</v>
      </c>
      <c r="L45" s="14">
        <f>'Omzet&amp;Prijs'!$C$12/SUM('Omzet&amp;Prijs'!$C$9:$C$16)*$Q45</f>
        <v>8.7168113413785875</v>
      </c>
      <c r="M45" s="14">
        <f>'Omzet&amp;Prijs'!$C$13/SUM('Omzet&amp;Prijs'!$C$9:$C$16)*$Q45</f>
        <v>2.0076042157928193</v>
      </c>
      <c r="N45" s="14">
        <f>'Omzet&amp;Prijs'!$C$16/SUM('Omzet&amp;Prijs'!$C$9:$C$16)*$Q45</f>
        <v>7.1736500172713749</v>
      </c>
      <c r="O45" s="14">
        <f>'Omzet&amp;Prijs'!$C$14/SUM('Omzet&amp;Prijs'!$C$9:$C$16)*$Q45</f>
        <v>12.318926177884123</v>
      </c>
      <c r="P45" s="14">
        <f>'Omzet&amp;Prijs'!$C$9/SUM('Omzet&amp;Prijs'!$C$9:$C$16)*$Q45</f>
        <v>1.1070755066664355</v>
      </c>
      <c r="Q45" s="3">
        <f t="shared" si="0"/>
        <v>48.59</v>
      </c>
    </row>
    <row r="46" spans="1:17">
      <c r="A46" t="s">
        <v>132</v>
      </c>
      <c r="B46" t="s">
        <v>132</v>
      </c>
      <c r="C46" t="s">
        <v>147</v>
      </c>
      <c r="D46" t="s">
        <v>148</v>
      </c>
      <c r="E46">
        <v>2011</v>
      </c>
      <c r="F46" s="3">
        <v>0</v>
      </c>
      <c r="G46" s="2">
        <v>0</v>
      </c>
      <c r="H46" s="2">
        <v>0</v>
      </c>
      <c r="I46" s="2">
        <f>'Omzet&amp;Prijs'!$C$3/SUM('Omzet&amp;Prijs'!$C$2:$C$8)*$Q46</f>
        <v>0</v>
      </c>
      <c r="J46" s="2">
        <f>'Omzet&amp;Prijs'!$C$4/SUM('Omzet&amp;Prijs'!$C$2:$C$8)*$Q46</f>
        <v>0</v>
      </c>
      <c r="K46" s="2">
        <v>0</v>
      </c>
      <c r="L46" s="2">
        <f>'Omzet&amp;Prijs'!$C$6/SUM('Omzet&amp;Prijs'!$C$2:$C$8)*$Q46</f>
        <v>0</v>
      </c>
      <c r="M46" s="2">
        <f>'Omzet&amp;Prijs'!$C$5/SUM('Omzet&amp;Prijs'!$C$2:$C$8)*$Q46</f>
        <v>0</v>
      </c>
      <c r="N46" s="2">
        <f>'Omzet&amp;Prijs'!$C$8/SUM('Omzet&amp;Prijs'!$C$2:$C$8)*$Q46</f>
        <v>0</v>
      </c>
      <c r="O46" s="2">
        <f>'Omzet&amp;Prijs'!$C$7/SUM('Omzet&amp;Prijs'!$C$2:$C$8)*$Q46</f>
        <v>0</v>
      </c>
      <c r="P46" s="2">
        <f>'Omzet&amp;Prijs'!$C$2/SUM('Omzet&amp;Prijs'!$C$2:$C$8)*$Q46</f>
        <v>0</v>
      </c>
      <c r="Q46" s="3">
        <f t="shared" si="0"/>
        <v>0</v>
      </c>
    </row>
    <row r="47" spans="1:17">
      <c r="A47" t="s">
        <v>132</v>
      </c>
      <c r="B47" t="s">
        <v>132</v>
      </c>
      <c r="C47" t="s">
        <v>149</v>
      </c>
      <c r="D47" t="s">
        <v>150</v>
      </c>
      <c r="E47">
        <v>2011</v>
      </c>
      <c r="F47" s="3">
        <v>1082.17</v>
      </c>
      <c r="G47" s="2">
        <v>0</v>
      </c>
      <c r="H47" s="14">
        <f>'Omzet&amp;Prijs'!$C$15/SUM('Omzet&amp;Prijs'!$C$9:$C$16)*$Q47</f>
        <v>0.93879545171349399</v>
      </c>
      <c r="I47" s="14">
        <f>'Omzet&amp;Prijs'!$C$10/SUM('Omzet&amp;Prijs'!$C$9:$C$16)*$Q47</f>
        <v>244.99830248408117</v>
      </c>
      <c r="J47" s="14">
        <f>'Omzet&amp;Prijs'!$C$11/SUM('Omzet&amp;Prijs'!$C$9:$C$16)*$Q47</f>
        <v>138.60034668933764</v>
      </c>
      <c r="K47" s="14">
        <v>0</v>
      </c>
      <c r="L47" s="14">
        <f>'Omzet&amp;Prijs'!$C$12/SUM('Omzet&amp;Prijs'!$C$9:$C$16)*$Q47</f>
        <v>194.13607181106536</v>
      </c>
      <c r="M47" s="14">
        <f>'Omzet&amp;Prijs'!$C$13/SUM('Omzet&amp;Prijs'!$C$9:$C$16)*$Q47</f>
        <v>44.712267013881778</v>
      </c>
      <c r="N47" s="14">
        <f>'Omzet&amp;Prijs'!$C$16/SUM('Omzet&amp;Prijs'!$C$9:$C$16)*$Q47</f>
        <v>159.76762377424498</v>
      </c>
      <c r="O47" s="14">
        <f>'Omzet&amp;Prijs'!$C$14/SUM('Omzet&amp;Prijs'!$C$9:$C$16)*$Q47</f>
        <v>274.36041041203663</v>
      </c>
      <c r="P47" s="14">
        <f>'Omzet&amp;Prijs'!$C$9/SUM('Omzet&amp;Prijs'!$C$9:$C$16)*$Q47</f>
        <v>24.656182363638948</v>
      </c>
      <c r="Q47" s="3">
        <f t="shared" si="0"/>
        <v>1082.17</v>
      </c>
    </row>
    <row r="48" spans="1:17">
      <c r="A48" t="s">
        <v>132</v>
      </c>
      <c r="B48" t="s">
        <v>132</v>
      </c>
      <c r="C48" t="s">
        <v>123</v>
      </c>
      <c r="D48" t="s">
        <v>151</v>
      </c>
      <c r="E48">
        <v>2011</v>
      </c>
      <c r="F48" s="3">
        <v>0.46</v>
      </c>
      <c r="G48" s="2">
        <v>0</v>
      </c>
      <c r="H48" s="14">
        <f>'Omzet&amp;Prijs'!$C$15/SUM('Omzet&amp;Prijs'!$C$9:$C$16)*$Q48</f>
        <v>3.9905551603556486E-4</v>
      </c>
      <c r="I48" s="14">
        <f>'Omzet&amp;Prijs'!$C$10/SUM('Omzet&amp;Prijs'!$C$9:$C$16)*$Q48</f>
        <v>0.10414188079754322</v>
      </c>
      <c r="J48" s="14">
        <f>'Omzet&amp;Prijs'!$C$11/SUM('Omzet&amp;Prijs'!$C$9:$C$16)*$Q48</f>
        <v>5.891510527652339E-2</v>
      </c>
      <c r="K48" s="14">
        <v>0</v>
      </c>
      <c r="L48" s="14">
        <f>'Omzet&amp;Prijs'!$C$12/SUM('Omzet&amp;Prijs'!$C$9:$C$16)*$Q48</f>
        <v>8.2521778494220002E-2</v>
      </c>
      <c r="M48" s="14">
        <f>'Omzet&amp;Prijs'!$C$13/SUM('Omzet&amp;Prijs'!$C$9:$C$16)*$Q48</f>
        <v>1.9005925895548403E-2</v>
      </c>
      <c r="N48" s="14">
        <f>'Omzet&amp;Prijs'!$C$16/SUM('Omzet&amp;Prijs'!$C$9:$C$16)*$Q48</f>
        <v>6.7912718829899826E-2</v>
      </c>
      <c r="O48" s="14">
        <f>'Omzet&amp;Prijs'!$C$14/SUM('Omzet&amp;Prijs'!$C$9:$C$16)*$Q48</f>
        <v>0.11662288622816827</v>
      </c>
      <c r="P48" s="14">
        <f>'Omzet&amp;Prijs'!$C$9/SUM('Omzet&amp;Prijs'!$C$9:$C$16)*$Q48</f>
        <v>1.0480648962061336E-2</v>
      </c>
      <c r="Q48" s="3">
        <f t="shared" si="0"/>
        <v>0.46</v>
      </c>
    </row>
    <row r="49" spans="1:17">
      <c r="A49" t="s">
        <v>132</v>
      </c>
      <c r="B49" t="s">
        <v>132</v>
      </c>
      <c r="C49" t="s">
        <v>152</v>
      </c>
      <c r="D49" t="s">
        <v>153</v>
      </c>
      <c r="E49">
        <v>2011</v>
      </c>
      <c r="F49" s="3">
        <v>13225.26</v>
      </c>
      <c r="G49" s="10">
        <v>0</v>
      </c>
      <c r="H49" s="10">
        <f>'Omzet&amp;Prijs'!$C$15/(SUM('Omzet&amp;Prijs'!$C$9:$C$16)-'Omzet&amp;Prijs'!$C$14)*$Q49</f>
        <v>15.369728331723934</v>
      </c>
      <c r="I49" s="10">
        <f>'Omzet&amp;Prijs'!$C$10/(SUM('Omzet&amp;Prijs'!$C$9:$C$16)-'Omzet&amp;Prijs'!$C$14)*$Q49</f>
        <v>4011.0519752102964</v>
      </c>
      <c r="J49" s="10">
        <f>'Omzet&amp;Prijs'!$C$11/(SUM('Omzet&amp;Prijs'!$C$9:$C$16)-'Omzet&amp;Prijs'!$C$14)*$Q49</f>
        <v>2269.1308009745153</v>
      </c>
      <c r="K49" s="10">
        <v>0</v>
      </c>
      <c r="L49" s="10">
        <f>'Omzet&amp;Prijs'!$C$12/(SUM('Omzet&amp;Prijs'!$C$9:$C$16)-'Omzet&amp;Prijs'!$C$14)*$Q49</f>
        <v>3178.3480391580965</v>
      </c>
      <c r="M49" s="10">
        <f>'Omzet&amp;Prijs'!$C$13/(SUM('Omzet&amp;Prijs'!$C$9:$C$16)-'Omzet&amp;Prijs'!$C$14)*$Q49</f>
        <v>732.01824299910618</v>
      </c>
      <c r="N49" s="10">
        <f>'Omzet&amp;Prijs'!$C$16/(SUM('Omzet&amp;Prijs'!$C$9:$C$16)-'Omzet&amp;Prijs'!$C$14)*$Q49</f>
        <v>2615.6762574139852</v>
      </c>
      <c r="O49" s="10">
        <v>0</v>
      </c>
      <c r="P49" s="10">
        <f>'Omzet&amp;Prijs'!$C$9/(SUM('Omzet&amp;Prijs'!$C$9:$C$16)-'Omzet&amp;Prijs'!$C$14)*$Q49</f>
        <v>403.66495591227675</v>
      </c>
      <c r="Q49" s="3">
        <f t="shared" si="0"/>
        <v>13225.26</v>
      </c>
    </row>
    <row r="50" spans="1:17">
      <c r="A50" t="s">
        <v>132</v>
      </c>
      <c r="B50" t="s">
        <v>132</v>
      </c>
      <c r="C50" t="s">
        <v>154</v>
      </c>
      <c r="D50" t="s">
        <v>155</v>
      </c>
      <c r="E50">
        <v>2011</v>
      </c>
      <c r="F50" s="3">
        <v>-1065.83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f>Q50</f>
        <v>1065.83</v>
      </c>
      <c r="O50" s="2">
        <v>0</v>
      </c>
      <c r="P50" s="2">
        <v>0</v>
      </c>
      <c r="Q50" s="3">
        <f t="shared" si="0"/>
        <v>1065.83</v>
      </c>
    </row>
    <row r="51" spans="1:17">
      <c r="A51" t="s">
        <v>132</v>
      </c>
      <c r="B51" t="s">
        <v>132</v>
      </c>
      <c r="C51" t="s">
        <v>156</v>
      </c>
      <c r="D51" t="s">
        <v>157</v>
      </c>
      <c r="E51">
        <v>2011</v>
      </c>
      <c r="F51" s="3">
        <v>0</v>
      </c>
      <c r="G51" s="2">
        <v>0</v>
      </c>
      <c r="H51" s="2">
        <v>0</v>
      </c>
      <c r="I51" s="2">
        <f>'Omzet&amp;Prijs'!$C$3/SUM('Omzet&amp;Prijs'!$C$2:$C$8)*$Q51</f>
        <v>0</v>
      </c>
      <c r="J51" s="2">
        <f>'Omzet&amp;Prijs'!$C$4/SUM('Omzet&amp;Prijs'!$C$2:$C$8)*$Q51</f>
        <v>0</v>
      </c>
      <c r="K51" s="2">
        <v>0</v>
      </c>
      <c r="L51" s="2">
        <f>'Omzet&amp;Prijs'!$C$6/SUM('Omzet&amp;Prijs'!$C$2:$C$8)*$Q51</f>
        <v>0</v>
      </c>
      <c r="M51" s="2">
        <f>'Omzet&amp;Prijs'!$C$5/SUM('Omzet&amp;Prijs'!$C$2:$C$8)*$Q51</f>
        <v>0</v>
      </c>
      <c r="N51" s="2">
        <f>'Omzet&amp;Prijs'!$C$8/SUM('Omzet&amp;Prijs'!$C$2:$C$8)*$Q51</f>
        <v>0</v>
      </c>
      <c r="O51" s="2">
        <f>'Omzet&amp;Prijs'!$C$7/SUM('Omzet&amp;Prijs'!$C$2:$C$8)*$Q51</f>
        <v>0</v>
      </c>
      <c r="P51" s="2">
        <f>'Omzet&amp;Prijs'!$C$2/SUM('Omzet&amp;Prijs'!$C$2:$C$8)*$Q51</f>
        <v>0</v>
      </c>
      <c r="Q51" s="3">
        <f t="shared" si="0"/>
        <v>0</v>
      </c>
    </row>
    <row r="52" spans="1:17" hidden="1">
      <c r="A52" t="s">
        <v>132</v>
      </c>
      <c r="B52" t="s">
        <v>119</v>
      </c>
      <c r="C52" t="s">
        <v>158</v>
      </c>
      <c r="D52" t="s">
        <v>159</v>
      </c>
      <c r="E52">
        <v>2011</v>
      </c>
      <c r="F52" s="3">
        <v>0</v>
      </c>
      <c r="G52"/>
      <c r="H52"/>
      <c r="I52"/>
      <c r="J52"/>
      <c r="K52"/>
      <c r="L52"/>
      <c r="M52"/>
      <c r="N52"/>
      <c r="O52"/>
      <c r="P52"/>
      <c r="Q52" s="3">
        <f t="shared" si="0"/>
        <v>0</v>
      </c>
    </row>
    <row r="53" spans="1:17">
      <c r="A53" t="s">
        <v>132</v>
      </c>
      <c r="B53" t="s">
        <v>132</v>
      </c>
      <c r="C53" t="s">
        <v>160</v>
      </c>
      <c r="D53" t="s">
        <v>161</v>
      </c>
      <c r="E53">
        <v>2011</v>
      </c>
      <c r="F53" s="3">
        <f>7289.87+1014.01</f>
        <v>8303.8799999999992</v>
      </c>
      <c r="G53" s="10">
        <v>0</v>
      </c>
      <c r="H53" s="10">
        <f>'Omzet&amp;Prijs'!$C$15/(SUM('Omzet&amp;Prijs'!$C$9:$C$16)-'Omzet&amp;Prijs'!$C$14)*$Q53</f>
        <v>9.650349384377753</v>
      </c>
      <c r="I53" s="10">
        <f>'Omzet&amp;Prijs'!$C$10/(SUM('Omzet&amp;Prijs'!$C$9:$C$16)-'Omzet&amp;Prijs'!$C$14)*$Q53</f>
        <v>2518.4604518859569</v>
      </c>
      <c r="J53" s="10">
        <f>'Omzet&amp;Prijs'!$C$11/(SUM('Omzet&amp;Prijs'!$C$9:$C$16)-'Omzet&amp;Prijs'!$C$14)*$Q53</f>
        <v>1424.7424909299518</v>
      </c>
      <c r="K53" s="10">
        <v>0</v>
      </c>
      <c r="L53" s="10">
        <f>'Omzet&amp;Prijs'!$C$12/(SUM('Omzet&amp;Prijs'!$C$9:$C$16)-'Omzet&amp;Prijs'!$C$14)*$Q53</f>
        <v>1995.6220683301601</v>
      </c>
      <c r="M53" s="10">
        <f>'Omzet&amp;Prijs'!$C$13/(SUM('Omzet&amp;Prijs'!$C$9:$C$16)-'Omzet&amp;Prijs'!$C$14)*$Q53</f>
        <v>459.61982204322771</v>
      </c>
      <c r="N53" s="10">
        <f>'Omzet&amp;Prijs'!$C$16/(SUM('Omzet&amp;Prijs'!$C$9:$C$16)-'Omzet&amp;Prijs'!$C$14)*$Q53</f>
        <v>1642.3315504129855</v>
      </c>
      <c r="O53" s="10">
        <v>0</v>
      </c>
      <c r="P53" s="10">
        <f>'Omzet&amp;Prijs'!$C$9/(SUM('Omzet&amp;Prijs'!$C$9:$C$16)-'Omzet&amp;Prijs'!$C$14)*$Q53</f>
        <v>253.45326701333934</v>
      </c>
      <c r="Q53" s="3">
        <f t="shared" si="0"/>
        <v>8303.8799999999992</v>
      </c>
    </row>
    <row r="54" spans="1:17" hidden="1">
      <c r="A54" t="s">
        <v>132</v>
      </c>
      <c r="B54" t="s">
        <v>122</v>
      </c>
      <c r="C54" t="s">
        <v>162</v>
      </c>
      <c r="D54" t="s">
        <v>163</v>
      </c>
      <c r="E54">
        <v>2011</v>
      </c>
      <c r="F54" s="3">
        <v>0</v>
      </c>
      <c r="G54"/>
      <c r="H54"/>
      <c r="I54"/>
      <c r="J54"/>
      <c r="K54"/>
      <c r="L54"/>
      <c r="M54"/>
      <c r="N54"/>
      <c r="O54"/>
      <c r="P54"/>
      <c r="Q54" s="3">
        <f t="shared" si="0"/>
        <v>0</v>
      </c>
    </row>
    <row r="55" spans="1:17">
      <c r="A55" t="s">
        <v>132</v>
      </c>
      <c r="B55" t="s">
        <v>132</v>
      </c>
      <c r="C55" t="s">
        <v>156</v>
      </c>
      <c r="D55" t="s">
        <v>167</v>
      </c>
      <c r="E55">
        <v>2011</v>
      </c>
      <c r="F55" s="3">
        <f>65.5+195+32.25+56.75</f>
        <v>349.5</v>
      </c>
      <c r="G55" s="2">
        <v>0</v>
      </c>
      <c r="H55" s="14">
        <f>'Omzet&amp;Prijs'!$C$15/SUM('Omzet&amp;Prijs'!$C$9:$C$16)*$Q55</f>
        <v>0.30319544098789114</v>
      </c>
      <c r="I55" s="14">
        <f>'Omzet&amp;Prijs'!$C$10/SUM('Omzet&amp;Prijs'!$C$9:$C$16)*$Q55</f>
        <v>79.125189866829018</v>
      </c>
      <c r="J55" s="14">
        <f>'Omzet&amp;Prijs'!$C$11/SUM('Omzet&amp;Prijs'!$C$9:$C$16)*$Q55</f>
        <v>44.762672378575921</v>
      </c>
      <c r="K55" s="14">
        <v>0</v>
      </c>
      <c r="L55" s="14">
        <f>'Omzet&amp;Prijs'!$C$12/SUM('Omzet&amp;Prijs'!$C$9:$C$16)*$Q55</f>
        <v>62.69861213854324</v>
      </c>
      <c r="M55" s="14">
        <f>'Omzet&amp;Prijs'!$C$13/SUM('Omzet&amp;Prijs'!$C$9:$C$16)*$Q55</f>
        <v>14.440371957596014</v>
      </c>
      <c r="N55" s="14">
        <f>'Omzet&amp;Prijs'!$C$16/SUM('Omzet&amp;Prijs'!$C$9:$C$16)*$Q55</f>
        <v>51.598902676195628</v>
      </c>
      <c r="O55" s="14">
        <f>'Omzet&amp;Prijs'!$C$14/SUM('Omzet&amp;Prijs'!$C$9:$C$16)*$Q55</f>
        <v>88.608040732053936</v>
      </c>
      <c r="P55" s="14">
        <f>'Omzet&amp;Prijs'!$C$9/SUM('Omzet&amp;Prijs'!$C$9:$C$16)*$Q55</f>
        <v>7.9630148092183406</v>
      </c>
      <c r="Q55" s="3">
        <f t="shared" si="0"/>
        <v>349.5</v>
      </c>
    </row>
    <row r="56" spans="1:17">
      <c r="A56" t="s">
        <v>132</v>
      </c>
      <c r="B56" t="s">
        <v>132</v>
      </c>
      <c r="C56" t="s">
        <v>165</v>
      </c>
      <c r="D56" t="s">
        <v>165</v>
      </c>
      <c r="E56">
        <v>2011</v>
      </c>
      <c r="F56" s="3">
        <v>250</v>
      </c>
      <c r="G56" s="2">
        <v>0</v>
      </c>
      <c r="H56" s="14">
        <f>'Omzet&amp;Prijs'!$C$15/SUM('Omzet&amp;Prijs'!$C$9:$C$16)*$Q56</f>
        <v>0.21687799784541567</v>
      </c>
      <c r="I56" s="14">
        <f>'Omzet&amp;Prijs'!$C$10/SUM('Omzet&amp;Prijs'!$C$9:$C$16)*$Q56</f>
        <v>56.59884825953435</v>
      </c>
      <c r="J56" s="14">
        <f>'Omzet&amp;Prijs'!$C$11/SUM('Omzet&amp;Prijs'!$C$9:$C$16)*$Q56</f>
        <v>32.019078954632278</v>
      </c>
      <c r="K56" s="14">
        <v>0</v>
      </c>
      <c r="L56" s="14">
        <f>'Omzet&amp;Prijs'!$C$12/SUM('Omzet&amp;Prijs'!$C$9:$C$16)*$Q56</f>
        <v>44.848792659902173</v>
      </c>
      <c r="M56" s="14">
        <f>'Omzet&amp;Prijs'!$C$13/SUM('Omzet&amp;Prijs'!$C$9:$C$16)*$Q56</f>
        <v>10.32930755192848</v>
      </c>
      <c r="N56" s="14">
        <f>'Omzet&amp;Prijs'!$C$16/SUM('Omzet&amp;Prijs'!$C$9:$C$16)*$Q56</f>
        <v>36.90908632059773</v>
      </c>
      <c r="O56" s="14">
        <f>'Omzet&amp;Prijs'!$C$14/SUM('Omzet&amp;Prijs'!$C$9:$C$16)*$Q56</f>
        <v>63.382003384874054</v>
      </c>
      <c r="P56" s="14">
        <f>'Omzet&amp;Prijs'!$C$9/SUM('Omzet&amp;Prijs'!$C$9:$C$16)*$Q56</f>
        <v>5.696004870685508</v>
      </c>
      <c r="Q56" s="3">
        <f t="shared" si="0"/>
        <v>250</v>
      </c>
    </row>
    <row r="57" spans="1:17" hidden="1">
      <c r="A57" t="s">
        <v>132</v>
      </c>
      <c r="B57" t="s">
        <v>122</v>
      </c>
      <c r="C57" t="s">
        <v>166</v>
      </c>
      <c r="D57" t="s">
        <v>166</v>
      </c>
      <c r="E57">
        <v>2011</v>
      </c>
      <c r="F57" s="3">
        <f>72.23+167.29+115.73+-6947.45</f>
        <v>-6592.2</v>
      </c>
      <c r="G57"/>
      <c r="H57"/>
      <c r="I57"/>
      <c r="J57"/>
      <c r="K57"/>
      <c r="L57"/>
      <c r="M57"/>
      <c r="N57"/>
      <c r="O57"/>
      <c r="P57"/>
      <c r="Q57" s="3">
        <f t="shared" si="0"/>
        <v>6592.2</v>
      </c>
    </row>
    <row r="58" spans="1:17" ht="14.45" thickBot="1">
      <c r="A58" s="11" t="s">
        <v>132</v>
      </c>
      <c r="B58" s="11" t="s">
        <v>132</v>
      </c>
      <c r="C58" s="11" t="s">
        <v>168</v>
      </c>
      <c r="D58" s="11" t="s">
        <v>169</v>
      </c>
      <c r="E58" s="11">
        <v>2011</v>
      </c>
      <c r="F58" s="12">
        <v>3168.5</v>
      </c>
      <c r="G58" s="13">
        <v>0</v>
      </c>
      <c r="H58" s="15">
        <f>'Omzet&amp;Prijs'!$C$15/SUM('Omzet&amp;Prijs'!$C$9:$C$16)*$Q58</f>
        <v>2.7487117446927982</v>
      </c>
      <c r="I58" s="15">
        <f>'Omzet&amp;Prijs'!$C$10/SUM('Omzet&amp;Prijs'!$C$9:$C$16)*$Q58</f>
        <v>717.33380284133841</v>
      </c>
      <c r="J58" s="15">
        <f>'Omzet&amp;Prijs'!$C$11/SUM('Omzet&amp;Prijs'!$C$9:$C$16)*$Q58</f>
        <v>405.80980667100948</v>
      </c>
      <c r="K58" s="15">
        <v>0</v>
      </c>
      <c r="L58" s="15">
        <f>'Omzet&amp;Prijs'!$C$12/SUM('Omzet&amp;Prijs'!$C$9:$C$16)*$Q58</f>
        <v>568.41359817160014</v>
      </c>
      <c r="M58" s="15">
        <f>'Omzet&amp;Prijs'!$C$13/SUM('Omzet&amp;Prijs'!$C$9:$C$16)*$Q58</f>
        <v>130.91364391314156</v>
      </c>
      <c r="N58" s="15">
        <f>'Omzet&amp;Prijs'!$C$16/SUM('Omzet&amp;Prijs'!$C$9:$C$16)*$Q58</f>
        <v>467.78576002725561</v>
      </c>
      <c r="O58" s="15">
        <f>'Omzet&amp;Prijs'!$C$14/SUM('Omzet&amp;Prijs'!$C$9:$C$16)*$Q58</f>
        <v>803.30351089989381</v>
      </c>
      <c r="P58" s="15">
        <f>'Omzet&amp;Prijs'!$C$9/SUM('Omzet&amp;Prijs'!$C$9:$C$16)*$Q58</f>
        <v>72.191165731068125</v>
      </c>
      <c r="Q58" s="12">
        <f t="shared" si="0"/>
        <v>3168.5</v>
      </c>
    </row>
    <row r="59" spans="1:17" hidden="1">
      <c r="A59" t="s">
        <v>118</v>
      </c>
      <c r="B59" t="s">
        <v>119</v>
      </c>
      <c r="C59" t="s">
        <v>120</v>
      </c>
      <c r="D59" t="s">
        <v>121</v>
      </c>
      <c r="E59">
        <v>2012</v>
      </c>
      <c r="F59" s="3">
        <v>-278008.48</v>
      </c>
      <c r="G59"/>
      <c r="H59"/>
      <c r="I59"/>
      <c r="J59"/>
      <c r="K59"/>
      <c r="L59"/>
      <c r="M59"/>
      <c r="N59"/>
      <c r="O59"/>
      <c r="P59"/>
      <c r="Q59" s="3">
        <f t="shared" si="0"/>
        <v>278008.48</v>
      </c>
    </row>
    <row r="60" spans="1:17" hidden="1">
      <c r="A60" t="s">
        <v>118</v>
      </c>
      <c r="B60" t="s">
        <v>122</v>
      </c>
      <c r="C60" t="s">
        <v>123</v>
      </c>
      <c r="D60" t="s">
        <v>124</v>
      </c>
      <c r="E60">
        <v>2012</v>
      </c>
      <c r="F60" s="3">
        <v>-4063.15</v>
      </c>
      <c r="G60"/>
      <c r="H60"/>
      <c r="I60"/>
      <c r="J60"/>
      <c r="K60"/>
      <c r="L60"/>
      <c r="M60"/>
      <c r="N60"/>
      <c r="O60"/>
      <c r="P60"/>
      <c r="Q60" s="3">
        <f t="shared" si="0"/>
        <v>4063.15</v>
      </c>
    </row>
    <row r="61" spans="1:17" hidden="1">
      <c r="A61" t="s">
        <v>118</v>
      </c>
      <c r="B61" t="s">
        <v>122</v>
      </c>
      <c r="C61" t="s">
        <v>123</v>
      </c>
      <c r="D61" t="s">
        <v>125</v>
      </c>
      <c r="E61">
        <v>2012</v>
      </c>
      <c r="F61" s="3">
        <v>-141336.62</v>
      </c>
      <c r="G61"/>
      <c r="H61"/>
      <c r="I61"/>
      <c r="J61"/>
      <c r="K61"/>
      <c r="L61"/>
      <c r="M61"/>
      <c r="N61"/>
      <c r="O61"/>
      <c r="P61"/>
      <c r="Q61" s="3">
        <f t="shared" si="0"/>
        <v>141336.62</v>
      </c>
    </row>
    <row r="62" spans="1:17" hidden="1">
      <c r="A62" t="s">
        <v>118</v>
      </c>
      <c r="B62" t="s">
        <v>122</v>
      </c>
      <c r="C62" t="s">
        <v>123</v>
      </c>
      <c r="D62" t="s">
        <v>126</v>
      </c>
      <c r="E62">
        <v>2012</v>
      </c>
      <c r="F62" s="3">
        <v>-5358.18</v>
      </c>
      <c r="G62"/>
      <c r="H62"/>
      <c r="I62"/>
      <c r="J62"/>
      <c r="K62"/>
      <c r="L62"/>
      <c r="M62"/>
      <c r="N62"/>
      <c r="O62"/>
      <c r="P62"/>
      <c r="Q62" s="3">
        <f t="shared" si="0"/>
        <v>5358.18</v>
      </c>
    </row>
    <row r="63" spans="1:17" hidden="1">
      <c r="A63" t="s">
        <v>118</v>
      </c>
      <c r="B63" t="s">
        <v>122</v>
      </c>
      <c r="C63" t="s">
        <v>127</v>
      </c>
      <c r="D63" t="s">
        <v>128</v>
      </c>
      <c r="E63">
        <v>2012</v>
      </c>
      <c r="F63" s="3">
        <v>-960</v>
      </c>
      <c r="G63"/>
      <c r="H63"/>
      <c r="I63"/>
      <c r="J63"/>
      <c r="K63"/>
      <c r="L63"/>
      <c r="M63"/>
      <c r="N63"/>
      <c r="O63"/>
      <c r="P63"/>
      <c r="Q63" s="3">
        <f t="shared" si="0"/>
        <v>960</v>
      </c>
    </row>
    <row r="64" spans="1:17" hidden="1">
      <c r="A64" t="s">
        <v>118</v>
      </c>
      <c r="B64" t="s">
        <v>122</v>
      </c>
      <c r="C64" t="s">
        <v>129</v>
      </c>
      <c r="D64" t="s">
        <v>130</v>
      </c>
      <c r="E64">
        <v>2012</v>
      </c>
      <c r="F64" s="3">
        <v>-999.95</v>
      </c>
      <c r="G64"/>
      <c r="H64"/>
      <c r="I64"/>
      <c r="J64"/>
      <c r="K64"/>
      <c r="L64"/>
      <c r="M64"/>
      <c r="N64"/>
      <c r="O64"/>
      <c r="P64"/>
      <c r="Q64" s="3">
        <f t="shared" si="0"/>
        <v>999.95</v>
      </c>
    </row>
    <row r="65" spans="1:17" hidden="1">
      <c r="A65" t="s">
        <v>118</v>
      </c>
      <c r="B65" t="s">
        <v>122</v>
      </c>
      <c r="C65" t="s">
        <v>129</v>
      </c>
      <c r="D65" t="s">
        <v>131</v>
      </c>
      <c r="E65">
        <v>2012</v>
      </c>
      <c r="F65" s="3">
        <v>-3524.99</v>
      </c>
      <c r="G65"/>
      <c r="H65"/>
      <c r="I65"/>
      <c r="J65"/>
      <c r="K65"/>
      <c r="L65"/>
      <c r="M65"/>
      <c r="N65"/>
      <c r="O65"/>
      <c r="P65"/>
      <c r="Q65" s="3">
        <f t="shared" si="0"/>
        <v>3524.99</v>
      </c>
    </row>
    <row r="66" spans="1:17">
      <c r="A66" t="s">
        <v>118</v>
      </c>
      <c r="B66" t="s">
        <v>132</v>
      </c>
      <c r="C66" t="s">
        <v>133</v>
      </c>
      <c r="D66" t="s">
        <v>133</v>
      </c>
      <c r="E66">
        <v>2012</v>
      </c>
      <c r="F66" s="3">
        <v>2432.87</v>
      </c>
      <c r="G66" s="2">
        <v>0</v>
      </c>
      <c r="H66" s="14">
        <f>'Omzet&amp;Prijs'!$C$23/SUM('Omzet&amp;Prijs'!$C$17:$C$24)*$Q66</f>
        <v>4.4129376751422704</v>
      </c>
      <c r="I66" s="14">
        <f>'Omzet&amp;Prijs'!$C$18/SUM('Omzet&amp;Prijs'!$C$17:$C$24)*$Q66</f>
        <v>1168.1932105575434</v>
      </c>
      <c r="J66" s="14">
        <f>'Omzet&amp;Prijs'!$C$19/SUM('Omzet&amp;Prijs'!$C$17:$C$24)*$Q66</f>
        <v>248.15899668136845</v>
      </c>
      <c r="K66" s="14">
        <v>0</v>
      </c>
      <c r="L66" s="14">
        <f>'Omzet&amp;Prijs'!$C$21/SUM('Omzet&amp;Prijs'!$C$17:$C$24)*$Q66</f>
        <v>125.94986806748784</v>
      </c>
      <c r="M66" s="14">
        <f>'Omzet&amp;Prijs'!$C$20/SUM('Omzet&amp;Prijs'!$C$17:$C$24)*$Q66</f>
        <v>176.61353532305299</v>
      </c>
      <c r="N66" s="14">
        <f>'Omzet&amp;Prijs'!$C$24/SUM('Omzet&amp;Prijs'!$C$17:$C$24)*$Q66</f>
        <v>346.39290989638266</v>
      </c>
      <c r="O66" s="14">
        <f>'Omzet&amp;Prijs'!$C$22/SUM('Omzet&amp;Prijs'!$C$17:$C$24)*$Q66</f>
        <v>309.40760346435201</v>
      </c>
      <c r="P66" s="14">
        <f>'Omzet&amp;Prijs'!$C$17/SUM('Omzet&amp;Prijs'!$C$17:$C$24)*$Q66</f>
        <v>53.740938334670261</v>
      </c>
      <c r="Q66" s="3">
        <f t="shared" ref="Q66:Q129" si="1">IF(F66&lt;0,F66*-1,F66)</f>
        <v>2432.87</v>
      </c>
    </row>
    <row r="67" spans="1:17">
      <c r="A67" t="s">
        <v>118</v>
      </c>
      <c r="B67" t="s">
        <v>132</v>
      </c>
      <c r="C67" t="s">
        <v>134</v>
      </c>
      <c r="D67" t="s">
        <v>135</v>
      </c>
      <c r="E67">
        <v>2012</v>
      </c>
      <c r="F67" s="3">
        <f>4537.88+4764.82+1533.54</f>
        <v>10836.240000000002</v>
      </c>
      <c r="G67" s="2">
        <v>0</v>
      </c>
      <c r="H67" s="14">
        <f>'Omzet&amp;Prijs'!$C$23/SUM('Omzet&amp;Prijs'!$C$17:$C$24)*$Q67</f>
        <v>19.655654331256372</v>
      </c>
      <c r="I67" s="14">
        <f>'Omzet&amp;Prijs'!$C$18/SUM('Omzet&amp;Prijs'!$C$17:$C$24)*$Q67</f>
        <v>5203.2463699137543</v>
      </c>
      <c r="J67" s="14">
        <f>'Omzet&amp;Prijs'!$C$19/SUM('Omzet&amp;Prijs'!$C$17:$C$24)*$Q67</f>
        <v>1105.3243478683664</v>
      </c>
      <c r="K67" s="14">
        <v>0</v>
      </c>
      <c r="L67" s="14">
        <f>'Omzet&amp;Prijs'!$C$21/SUM('Omzet&amp;Prijs'!$C$17:$C$24)*$Q67</f>
        <v>560.99298291632306</v>
      </c>
      <c r="M67" s="14">
        <f>'Omzet&amp;Prijs'!$C$20/SUM('Omzet&amp;Prijs'!$C$17:$C$24)*$Q67</f>
        <v>786.65389273125152</v>
      </c>
      <c r="N67" s="14">
        <f>'Omzet&amp;Prijs'!$C$24/SUM('Omzet&amp;Prijs'!$C$17:$C$24)*$Q67</f>
        <v>1542.8677676717532</v>
      </c>
      <c r="O67" s="14">
        <f>'Omzet&amp;Prijs'!$C$22/SUM('Omzet&amp;Prijs'!$C$17:$C$24)*$Q67</f>
        <v>1378.1316095658833</v>
      </c>
      <c r="P67" s="14">
        <f>'Omzet&amp;Prijs'!$C$17/SUM('Omzet&amp;Prijs'!$C$17:$C$24)*$Q67</f>
        <v>239.36737500141288</v>
      </c>
      <c r="Q67" s="3">
        <f t="shared" si="1"/>
        <v>10836.240000000002</v>
      </c>
    </row>
    <row r="68" spans="1:17">
      <c r="A68" t="s">
        <v>118</v>
      </c>
      <c r="B68" t="s">
        <v>132</v>
      </c>
      <c r="C68" t="s">
        <v>136</v>
      </c>
      <c r="D68" t="s">
        <v>137</v>
      </c>
      <c r="E68">
        <v>2012</v>
      </c>
      <c r="F68" s="3">
        <v>396.84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f>Q68</f>
        <v>396.84</v>
      </c>
      <c r="O68" s="2">
        <v>0</v>
      </c>
      <c r="P68" s="2">
        <v>0</v>
      </c>
      <c r="Q68" s="3">
        <f t="shared" si="1"/>
        <v>396.84</v>
      </c>
    </row>
    <row r="69" spans="1:17">
      <c r="A69" t="s">
        <v>118</v>
      </c>
      <c r="B69" t="s">
        <v>132</v>
      </c>
      <c r="C69" t="s">
        <v>138</v>
      </c>
      <c r="D69" t="s">
        <v>139</v>
      </c>
      <c r="E69">
        <v>2012</v>
      </c>
      <c r="F69" s="3">
        <v>2182.4299999999998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f>Q69</f>
        <v>2182.4299999999998</v>
      </c>
      <c r="O69" s="2">
        <v>0</v>
      </c>
      <c r="P69" s="2">
        <v>0</v>
      </c>
      <c r="Q69" s="3">
        <f t="shared" si="1"/>
        <v>2182.4299999999998</v>
      </c>
    </row>
    <row r="70" spans="1:17">
      <c r="A70" t="s">
        <v>118</v>
      </c>
      <c r="B70" t="s">
        <v>132</v>
      </c>
      <c r="C70" t="s">
        <v>140</v>
      </c>
      <c r="D70" t="s">
        <v>141</v>
      </c>
      <c r="E70">
        <v>2012</v>
      </c>
      <c r="F70" s="3">
        <v>1785.62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f>Q70</f>
        <v>1785.62</v>
      </c>
      <c r="O70" s="2">
        <v>0</v>
      </c>
      <c r="P70" s="2">
        <v>0</v>
      </c>
      <c r="Q70" s="3">
        <f t="shared" si="1"/>
        <v>1785.62</v>
      </c>
    </row>
    <row r="71" spans="1:17" hidden="1">
      <c r="A71" t="s">
        <v>123</v>
      </c>
      <c r="B71" t="s">
        <v>122</v>
      </c>
      <c r="C71" t="s">
        <v>123</v>
      </c>
      <c r="D71" t="s">
        <v>142</v>
      </c>
      <c r="E71">
        <v>2012</v>
      </c>
      <c r="F71" s="3">
        <f>-409.27+-3286.28+6528.6+165169.67+10442.83+3823.05+-15.4+16.59+-23.16+-5.84+-4.68</f>
        <v>182236.11</v>
      </c>
      <c r="G71"/>
      <c r="H71"/>
      <c r="I71"/>
      <c r="J71"/>
      <c r="K71"/>
      <c r="L71"/>
      <c r="M71"/>
      <c r="N71"/>
      <c r="O71"/>
      <c r="P71"/>
      <c r="Q71" s="3">
        <f t="shared" si="1"/>
        <v>182236.11</v>
      </c>
    </row>
    <row r="72" spans="1:17" hidden="1">
      <c r="A72" t="s">
        <v>132</v>
      </c>
      <c r="B72" t="s">
        <v>122</v>
      </c>
      <c r="C72" t="s">
        <v>143</v>
      </c>
      <c r="D72" t="s">
        <v>143</v>
      </c>
      <c r="E72">
        <v>2012</v>
      </c>
      <c r="F72" s="3">
        <v>22575</v>
      </c>
      <c r="G72"/>
      <c r="H72"/>
      <c r="I72"/>
      <c r="J72"/>
      <c r="K72"/>
      <c r="L72"/>
      <c r="M72"/>
      <c r="N72"/>
      <c r="O72"/>
      <c r="P72"/>
      <c r="Q72" s="3">
        <f t="shared" si="1"/>
        <v>22575</v>
      </c>
    </row>
    <row r="73" spans="1:17">
      <c r="A73" t="s">
        <v>132</v>
      </c>
      <c r="B73" t="s">
        <v>132</v>
      </c>
      <c r="C73" t="s">
        <v>144</v>
      </c>
      <c r="D73" t="s">
        <v>145</v>
      </c>
      <c r="E73">
        <v>2012</v>
      </c>
      <c r="F73" s="3">
        <v>18.16</v>
      </c>
      <c r="G73" s="2">
        <v>0</v>
      </c>
      <c r="H73" s="14">
        <f>'Omzet&amp;Prijs'!$C$23/SUM('Omzet&amp;Prijs'!$C$17:$C$24)*$Q73</f>
        <v>3.2940086474239745E-2</v>
      </c>
      <c r="I73" s="14">
        <f>'Omzet&amp;Prijs'!$C$18/SUM('Omzet&amp;Prijs'!$C$17:$C$24)*$Q73</f>
        <v>8.7199022979957768</v>
      </c>
      <c r="J73" s="14">
        <f>'Omzet&amp;Prijs'!$C$19/SUM('Omzet&amp;Prijs'!$C$17:$C$24)*$Q73</f>
        <v>1.8523667025914461</v>
      </c>
      <c r="K73" s="14">
        <v>0</v>
      </c>
      <c r="L73" s="14">
        <f>'Omzet&amp;Prijs'!$C$21/SUM('Omzet&amp;Prijs'!$C$17:$C$24)*$Q73</f>
        <v>0.94014460456398385</v>
      </c>
      <c r="M73" s="14">
        <f>'Omzet&amp;Prijs'!$C$20/SUM('Omzet&amp;Prijs'!$C$17:$C$24)*$Q73</f>
        <v>1.3183202561035494</v>
      </c>
      <c r="N73" s="14">
        <f>'Omzet&amp;Prijs'!$C$24/SUM('Omzet&amp;Prijs'!$C$17:$C$24)*$Q73</f>
        <v>2.5856273634507021</v>
      </c>
      <c r="O73" s="14">
        <f>'Omzet&amp;Prijs'!$C$22/SUM('Omzet&amp;Prijs'!$C$17:$C$24)*$Q73</f>
        <v>2.3095529473061172</v>
      </c>
      <c r="P73" s="14">
        <f>'Omzet&amp;Prijs'!$C$17/SUM('Omzet&amp;Prijs'!$C$17:$C$24)*$Q73</f>
        <v>0.40114574151418364</v>
      </c>
      <c r="Q73" s="3">
        <f t="shared" si="1"/>
        <v>18.16</v>
      </c>
    </row>
    <row r="74" spans="1:17">
      <c r="A74" t="s">
        <v>132</v>
      </c>
      <c r="B74" t="s">
        <v>132</v>
      </c>
      <c r="C74" t="s">
        <v>144</v>
      </c>
      <c r="D74" t="s">
        <v>146</v>
      </c>
      <c r="E74">
        <v>2012</v>
      </c>
      <c r="F74" s="3">
        <v>57.63</v>
      </c>
      <c r="G74" s="2">
        <v>0</v>
      </c>
      <c r="H74" s="14">
        <f>'Omzet&amp;Prijs'!$C$23/SUM('Omzet&amp;Prijs'!$C$17:$C$24)*$Q74</f>
        <v>0.10453398587612535</v>
      </c>
      <c r="I74" s="14">
        <f>'Omzet&amp;Prijs'!$C$18/SUM('Omzet&amp;Prijs'!$C$17:$C$24)*$Q74</f>
        <v>27.672245012857747</v>
      </c>
      <c r="J74" s="14">
        <f>'Omzet&amp;Prijs'!$C$19/SUM('Omzet&amp;Prijs'!$C$17:$C$24)*$Q74</f>
        <v>5.8784082087194403</v>
      </c>
      <c r="K74" s="14">
        <v>0</v>
      </c>
      <c r="L74" s="14">
        <f>'Omzet&amp;Prijs'!$C$21/SUM('Omzet&amp;Prijs'!$C$17:$C$24)*$Q74</f>
        <v>2.9835095573250214</v>
      </c>
      <c r="M74" s="14">
        <f>'Omzet&amp;Prijs'!$C$20/SUM('Omzet&amp;Prijs'!$C$17:$C$24)*$Q74</f>
        <v>4.1836341607515175</v>
      </c>
      <c r="N74" s="14">
        <f>'Omzet&amp;Prijs'!$C$24/SUM('Omzet&amp;Prijs'!$C$17:$C$24)*$Q74</f>
        <v>8.2053802288361215</v>
      </c>
      <c r="O74" s="14">
        <f>'Omzet&amp;Prijs'!$C$22/SUM('Omzet&amp;Prijs'!$C$17:$C$24)*$Q74</f>
        <v>7.3292696229764056</v>
      </c>
      <c r="P74" s="14">
        <f>'Omzet&amp;Prijs'!$C$17/SUM('Omzet&amp;Prijs'!$C$17:$C$24)*$Q74</f>
        <v>1.2730192226576214</v>
      </c>
      <c r="Q74" s="3">
        <f t="shared" si="1"/>
        <v>57.63</v>
      </c>
    </row>
    <row r="75" spans="1:17">
      <c r="A75" t="s">
        <v>132</v>
      </c>
      <c r="B75" t="s">
        <v>132</v>
      </c>
      <c r="C75" t="s">
        <v>147</v>
      </c>
      <c r="D75" t="s">
        <v>148</v>
      </c>
      <c r="E75">
        <v>2012</v>
      </c>
      <c r="F75" s="3">
        <v>0</v>
      </c>
      <c r="G75" s="2">
        <v>0</v>
      </c>
      <c r="H75" s="14">
        <f>'Omzet&amp;Prijs'!$C$23/SUM('Omzet&amp;Prijs'!$C$17:$C$24)*$Q75</f>
        <v>0</v>
      </c>
      <c r="I75" s="14">
        <f>'Omzet&amp;Prijs'!$C$18/SUM('Omzet&amp;Prijs'!$C$17:$C$24)*$Q75</f>
        <v>0</v>
      </c>
      <c r="J75" s="14">
        <f>'Omzet&amp;Prijs'!$C$19/SUM('Omzet&amp;Prijs'!$C$17:$C$24)*$Q75</f>
        <v>0</v>
      </c>
      <c r="K75" s="14">
        <v>0</v>
      </c>
      <c r="L75" s="14">
        <f>'Omzet&amp;Prijs'!$C$21/SUM('Omzet&amp;Prijs'!$C$17:$C$24)*$Q75</f>
        <v>0</v>
      </c>
      <c r="M75" s="14">
        <f>'Omzet&amp;Prijs'!$C$20/SUM('Omzet&amp;Prijs'!$C$17:$C$24)*$Q75</f>
        <v>0</v>
      </c>
      <c r="N75" s="14">
        <f>'Omzet&amp;Prijs'!$C$24/SUM('Omzet&amp;Prijs'!$C$17:$C$24)*$Q75</f>
        <v>0</v>
      </c>
      <c r="O75" s="14">
        <f>'Omzet&amp;Prijs'!$C$22/SUM('Omzet&amp;Prijs'!$C$17:$C$24)*$Q75</f>
        <v>0</v>
      </c>
      <c r="P75" s="14">
        <f>'Omzet&amp;Prijs'!$C$17/SUM('Omzet&amp;Prijs'!$C$17:$C$24)*$Q75</f>
        <v>0</v>
      </c>
      <c r="Q75" s="3">
        <f t="shared" si="1"/>
        <v>0</v>
      </c>
    </row>
    <row r="76" spans="1:17">
      <c r="A76" t="s">
        <v>132</v>
      </c>
      <c r="B76" t="s">
        <v>132</v>
      </c>
      <c r="C76" t="s">
        <v>149</v>
      </c>
      <c r="D76" t="s">
        <v>150</v>
      </c>
      <c r="E76">
        <v>2012</v>
      </c>
      <c r="F76" s="3">
        <v>1682.89</v>
      </c>
      <c r="G76" s="2">
        <v>0</v>
      </c>
      <c r="H76" s="14">
        <f>'Omzet&amp;Prijs'!$C$23/SUM('Omzet&amp;Prijs'!$C$17:$C$24)*$Q76</f>
        <v>3.0525628924357555</v>
      </c>
      <c r="I76" s="14">
        <f>'Omzet&amp;Prijs'!$C$18/SUM('Omzet&amp;Prijs'!$C$17:$C$24)*$Q76</f>
        <v>808.07469043359663</v>
      </c>
      <c r="J76" s="14">
        <f>'Omzet&amp;Prijs'!$C$19/SUM('Omzet&amp;Prijs'!$C$17:$C$24)*$Q76</f>
        <v>171.65910793635015</v>
      </c>
      <c r="K76" s="14">
        <v>0</v>
      </c>
      <c r="L76" s="14">
        <f>'Omzet&amp;Prijs'!$C$21/SUM('Omzet&amp;Prijs'!$C$17:$C$24)*$Q76</f>
        <v>87.123345461160952</v>
      </c>
      <c r="M76" s="14">
        <f>'Omzet&amp;Prijs'!$C$20/SUM('Omzet&amp;Prijs'!$C$17:$C$24)*$Q76</f>
        <v>122.16894139835365</v>
      </c>
      <c r="N76" s="14">
        <f>'Omzet&amp;Prijs'!$C$24/SUM('Omzet&amp;Prijs'!$C$17:$C$24)*$Q76</f>
        <v>239.61048643598855</v>
      </c>
      <c r="O76" s="14">
        <f>'Omzet&amp;Prijs'!$C$22/SUM('Omzet&amp;Prijs'!$C$17:$C$24)*$Q76</f>
        <v>214.02662772532992</v>
      </c>
      <c r="P76" s="14">
        <f>'Omzet&amp;Prijs'!$C$17/SUM('Omzet&amp;Prijs'!$C$17:$C$24)*$Q76</f>
        <v>37.17423771678439</v>
      </c>
      <c r="Q76" s="3">
        <f t="shared" si="1"/>
        <v>1682.89</v>
      </c>
    </row>
    <row r="77" spans="1:17">
      <c r="A77" t="s">
        <v>132</v>
      </c>
      <c r="B77" t="s">
        <v>132</v>
      </c>
      <c r="C77" t="s">
        <v>123</v>
      </c>
      <c r="D77" t="s">
        <v>151</v>
      </c>
      <c r="E77">
        <v>2012</v>
      </c>
      <c r="F77" s="3">
        <v>2.0699999999999998</v>
      </c>
      <c r="G77" s="2">
        <v>0</v>
      </c>
      <c r="H77" s="14">
        <f>'Omzet&amp;Prijs'!$C$23/SUM('Omzet&amp;Prijs'!$C$17:$C$24)*$Q77</f>
        <v>3.7547345265240232E-3</v>
      </c>
      <c r="I77" s="14">
        <f>'Omzet&amp;Prijs'!$C$18/SUM('Omzet&amp;Prijs'!$C$17:$C$24)*$Q77</f>
        <v>0.99395362097198559</v>
      </c>
      <c r="J77" s="14">
        <f>'Omzet&amp;Prijs'!$C$19/SUM('Omzet&amp;Prijs'!$C$17:$C$24)*$Q77</f>
        <v>0.21114532347820997</v>
      </c>
      <c r="K77" s="14">
        <v>0</v>
      </c>
      <c r="L77" s="14">
        <f>'Omzet&amp;Prijs'!$C$21/SUM('Omzet&amp;Prijs'!$C$17:$C$24)*$Q77</f>
        <v>0.10716406010173163</v>
      </c>
      <c r="M77" s="14">
        <f>'Omzet&amp;Prijs'!$C$20/SUM('Omzet&amp;Prijs'!$C$17:$C$24)*$Q77</f>
        <v>0.15027108646114246</v>
      </c>
      <c r="N77" s="14">
        <f>'Omzet&amp;Prijs'!$C$24/SUM('Omzet&amp;Prijs'!$C$17:$C$24)*$Q77</f>
        <v>0.29472734814663837</v>
      </c>
      <c r="O77" s="14">
        <f>'Omzet&amp;Prijs'!$C$22/SUM('Omzet&amp;Prijs'!$C$17:$C$24)*$Q77</f>
        <v>0.26325851326672145</v>
      </c>
      <c r="P77" s="14">
        <f>'Omzet&amp;Prijs'!$C$17/SUM('Omzet&amp;Prijs'!$C$17:$C$24)*$Q77</f>
        <v>4.5725313047046259E-2</v>
      </c>
      <c r="Q77" s="3">
        <f t="shared" si="1"/>
        <v>2.0699999999999998</v>
      </c>
    </row>
    <row r="78" spans="1:17">
      <c r="A78" t="s">
        <v>132</v>
      </c>
      <c r="B78" t="s">
        <v>132</v>
      </c>
      <c r="C78" t="s">
        <v>152</v>
      </c>
      <c r="D78" t="s">
        <v>153</v>
      </c>
      <c r="E78">
        <v>2012</v>
      </c>
      <c r="F78" s="3">
        <f>1054.69+13364.03</f>
        <v>14418.720000000001</v>
      </c>
      <c r="G78" s="10">
        <v>0</v>
      </c>
      <c r="H78" s="10">
        <f>'Omzet&amp;Prijs'!$C$23/(SUM('Omzet&amp;Prijs'!$C$17:$C$24)-'Omzet&amp;Prijs'!$C$22)*$Q78</f>
        <v>29.964699548782043</v>
      </c>
      <c r="I78" s="10">
        <f>'Omzet&amp;Prijs'!$C$18/(SUM('Omzet&amp;Prijs'!$C$17:$C$24)-'Omzet&amp;Prijs'!$C$22)*$Q78</f>
        <v>7932.2576356475129</v>
      </c>
      <c r="J78" s="10">
        <f>'Omzet&amp;Prijs'!$C$19/(SUM('Omzet&amp;Prijs'!$C$17:$C$24)-'Omzet&amp;Prijs'!$C$22)*$Q78</f>
        <v>1685.0475405013904</v>
      </c>
      <c r="K78" s="10">
        <v>0</v>
      </c>
      <c r="L78" s="10">
        <f>'Omzet&amp;Prijs'!$C$21/(SUM('Omzet&amp;Prijs'!$C$17:$C$24)-'Omzet&amp;Prijs'!$C$22)*$Q78</f>
        <v>855.22394211682081</v>
      </c>
      <c r="M78" s="10">
        <f>'Omzet&amp;Prijs'!$C$20/(SUM('Omzet&amp;Prijs'!$C$17:$C$24)-'Omzet&amp;Prijs'!$C$22)*$Q78</f>
        <v>1199.2400327822147</v>
      </c>
      <c r="N78" s="10">
        <f>'Omzet&amp;Prijs'!$C$24/(SUM('Omzet&amp;Prijs'!$C$17:$C$24)-'Omzet&amp;Prijs'!$C$22)*$Q78</f>
        <v>2352.0747934738974</v>
      </c>
      <c r="O78" s="10">
        <v>0</v>
      </c>
      <c r="P78" s="10">
        <f>'Omzet&amp;Prijs'!$C$17/(SUM('Omzet&amp;Prijs'!$C$17:$C$24)-'Omzet&amp;Prijs'!$C$22)*$Q78</f>
        <v>364.91135592938133</v>
      </c>
      <c r="Q78" s="3">
        <f t="shared" si="1"/>
        <v>14418.720000000001</v>
      </c>
    </row>
    <row r="79" spans="1:17">
      <c r="A79" t="s">
        <v>132</v>
      </c>
      <c r="B79" t="s">
        <v>132</v>
      </c>
      <c r="C79" t="s">
        <v>154</v>
      </c>
      <c r="D79" t="s">
        <v>155</v>
      </c>
      <c r="E79">
        <v>2012</v>
      </c>
      <c r="F79" s="3">
        <v>-17060.38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f>Q79</f>
        <v>17060.38</v>
      </c>
      <c r="O79" s="2">
        <v>0</v>
      </c>
      <c r="P79" s="2">
        <v>0</v>
      </c>
      <c r="Q79" s="3">
        <f t="shared" si="1"/>
        <v>17060.38</v>
      </c>
    </row>
    <row r="80" spans="1:17">
      <c r="A80" t="s">
        <v>132</v>
      </c>
      <c r="B80" t="s">
        <v>132</v>
      </c>
      <c r="C80" t="s">
        <v>156</v>
      </c>
      <c r="D80" t="s">
        <v>157</v>
      </c>
      <c r="E80">
        <v>2012</v>
      </c>
      <c r="F80" s="3">
        <v>0</v>
      </c>
      <c r="G80" s="2">
        <v>0</v>
      </c>
      <c r="H80" s="14">
        <f>'Omzet&amp;Prijs'!$C$23/SUM('Omzet&amp;Prijs'!$C$17:$C$24)*$Q80</f>
        <v>0</v>
      </c>
      <c r="I80" s="14">
        <f>'Omzet&amp;Prijs'!$C$18/SUM('Omzet&amp;Prijs'!$C$17:$C$24)*$Q80</f>
        <v>0</v>
      </c>
      <c r="J80" s="14">
        <f>'Omzet&amp;Prijs'!$C$19/SUM('Omzet&amp;Prijs'!$C$17:$C$24)*$Q80</f>
        <v>0</v>
      </c>
      <c r="K80" s="14">
        <v>0</v>
      </c>
      <c r="L80" s="14">
        <f>'Omzet&amp;Prijs'!$C$21/SUM('Omzet&amp;Prijs'!$C$17:$C$24)*$Q80</f>
        <v>0</v>
      </c>
      <c r="M80" s="14">
        <f>'Omzet&amp;Prijs'!$C$20/SUM('Omzet&amp;Prijs'!$C$17:$C$24)*$Q80</f>
        <v>0</v>
      </c>
      <c r="N80" s="14">
        <f>'Omzet&amp;Prijs'!$C$24/SUM('Omzet&amp;Prijs'!$C$17:$C$24)*$Q80</f>
        <v>0</v>
      </c>
      <c r="O80" s="14">
        <f>'Omzet&amp;Prijs'!$C$22/SUM('Omzet&amp;Prijs'!$C$17:$C$24)*$Q80</f>
        <v>0</v>
      </c>
      <c r="P80" s="14">
        <f>'Omzet&amp;Prijs'!$C$17/SUM('Omzet&amp;Prijs'!$C$17:$C$24)*$Q80</f>
        <v>0</v>
      </c>
      <c r="Q80" s="3">
        <f t="shared" si="1"/>
        <v>0</v>
      </c>
    </row>
    <row r="81" spans="1:17" hidden="1">
      <c r="A81" t="s">
        <v>132</v>
      </c>
      <c r="B81" t="s">
        <v>119</v>
      </c>
      <c r="C81" t="s">
        <v>158</v>
      </c>
      <c r="D81" t="s">
        <v>159</v>
      </c>
      <c r="E81">
        <v>2012</v>
      </c>
      <c r="F81" s="3">
        <v>-2250.91</v>
      </c>
      <c r="G81"/>
      <c r="H81"/>
      <c r="I81"/>
      <c r="J81"/>
      <c r="K81"/>
      <c r="L81"/>
      <c r="M81"/>
      <c r="N81"/>
      <c r="O81"/>
      <c r="P81"/>
      <c r="Q81" s="3">
        <f t="shared" si="1"/>
        <v>2250.91</v>
      </c>
    </row>
    <row r="82" spans="1:17">
      <c r="A82" t="s">
        <v>132</v>
      </c>
      <c r="B82" t="s">
        <v>132</v>
      </c>
      <c r="C82" t="s">
        <v>160</v>
      </c>
      <c r="D82" t="s">
        <v>161</v>
      </c>
      <c r="E82">
        <v>2012</v>
      </c>
      <c r="F82" s="3">
        <f>21408.65+2077.6</f>
        <v>23486.25</v>
      </c>
      <c r="G82" s="10">
        <v>0</v>
      </c>
      <c r="H82" s="10">
        <f>'Omzet&amp;Prijs'!$C$23/(SUM('Omzet&amp;Prijs'!$C$17:$C$24)-'Omzet&amp;Prijs'!$C$22)*$Q82</f>
        <v>48.808661571733289</v>
      </c>
      <c r="I82" s="10">
        <f>'Omzet&amp;Prijs'!$C$18/(SUM('Omzet&amp;Prijs'!$C$17:$C$24)-'Omzet&amp;Prijs'!$C$22)*$Q82</f>
        <v>12920.632753477867</v>
      </c>
      <c r="J82" s="10">
        <f>'Omzet&amp;Prijs'!$C$19/(SUM('Omzet&amp;Prijs'!$C$17:$C$24)-'Omzet&amp;Prijs'!$C$22)*$Q82</f>
        <v>2744.7268410858092</v>
      </c>
      <c r="K82" s="10">
        <v>0</v>
      </c>
      <c r="L82" s="10">
        <f>'Omzet&amp;Prijs'!$C$21/(SUM('Omzet&amp;Prijs'!$C$17:$C$24)-'Omzet&amp;Prijs'!$C$22)*$Q82</f>
        <v>1393.0503755216262</v>
      </c>
      <c r="M82" s="10">
        <f>'Omzet&amp;Prijs'!$C$20/(SUM('Omzet&amp;Prijs'!$C$17:$C$24)-'Omzet&amp;Prijs'!$C$22)*$Q82</f>
        <v>1953.4085702428015</v>
      </c>
      <c r="N82" s="10">
        <f>'Omzet&amp;Prijs'!$C$24/(SUM('Omzet&amp;Prijs'!$C$17:$C$24)-'Omzet&amp;Prijs'!$C$22)*$Q82</f>
        <v>3831.2288898200613</v>
      </c>
      <c r="O82" s="10">
        <v>0</v>
      </c>
      <c r="P82" s="10">
        <f>'Omzet&amp;Prijs'!$C$17/(SUM('Omzet&amp;Prijs'!$C$17:$C$24)-'Omzet&amp;Prijs'!$C$22)*$Q82</f>
        <v>594.39390828009925</v>
      </c>
      <c r="Q82" s="3">
        <f t="shared" si="1"/>
        <v>23486.25</v>
      </c>
    </row>
    <row r="83" spans="1:17" hidden="1">
      <c r="A83" t="s">
        <v>132</v>
      </c>
      <c r="B83" t="s">
        <v>122</v>
      </c>
      <c r="C83" t="s">
        <v>162</v>
      </c>
      <c r="D83" t="s">
        <v>163</v>
      </c>
      <c r="E83">
        <v>2012</v>
      </c>
      <c r="F83" s="3">
        <v>0</v>
      </c>
      <c r="G83"/>
      <c r="H83"/>
      <c r="I83"/>
      <c r="J83"/>
      <c r="K83"/>
      <c r="L83"/>
      <c r="M83"/>
      <c r="N83"/>
      <c r="O83"/>
      <c r="P83"/>
      <c r="Q83" s="3">
        <f t="shared" si="1"/>
        <v>0</v>
      </c>
    </row>
    <row r="84" spans="1:17">
      <c r="A84" t="s">
        <v>132</v>
      </c>
      <c r="B84" t="s">
        <v>132</v>
      </c>
      <c r="C84" t="s">
        <v>156</v>
      </c>
      <c r="D84" t="s">
        <v>167</v>
      </c>
      <c r="E84">
        <v>2012</v>
      </c>
      <c r="F84" s="3">
        <f>32.25</f>
        <v>32.25</v>
      </c>
      <c r="G84" s="2">
        <v>0</v>
      </c>
      <c r="H84" s="14">
        <f>'Omzet&amp;Prijs'!$C$23/SUM('Omzet&amp;Prijs'!$C$17:$C$24)*$Q84</f>
        <v>5.8497675594396017E-2</v>
      </c>
      <c r="I84" s="14">
        <f>'Omzet&amp;Prijs'!$C$18/SUM('Omzet&amp;Prijs'!$C$17:$C$24)*$Q84</f>
        <v>15.485509312244703</v>
      </c>
      <c r="J84" s="14">
        <f>'Omzet&amp;Prijs'!$C$19/SUM('Omzet&amp;Prijs'!$C$17:$C$24)*$Q84</f>
        <v>3.2895829382474746</v>
      </c>
      <c r="K84" s="14">
        <v>0</v>
      </c>
      <c r="L84" s="14">
        <f>'Omzet&amp;Prijs'!$C$21/SUM('Omzet&amp;Prijs'!$C$17:$C$24)*$Q84</f>
        <v>1.6695849943385728</v>
      </c>
      <c r="M84" s="14">
        <f>'Omzet&amp;Prijs'!$C$20/SUM('Omzet&amp;Prijs'!$C$17:$C$24)*$Q84</f>
        <v>2.3411799702279441</v>
      </c>
      <c r="N84" s="14">
        <f>'Omzet&amp;Prijs'!$C$24/SUM('Omzet&amp;Prijs'!$C$17:$C$24)*$Q84</f>
        <v>4.5917666559077723</v>
      </c>
      <c r="O84" s="14">
        <f>'Omzet&amp;Prijs'!$C$22/SUM('Omzet&amp;Prijs'!$C$17:$C$24)*$Q84</f>
        <v>4.1014913298800808</v>
      </c>
      <c r="P84" s="14">
        <f>'Omzet&amp;Prijs'!$C$17/SUM('Omzet&amp;Prijs'!$C$17:$C$24)*$Q84</f>
        <v>0.71238712355905409</v>
      </c>
      <c r="Q84" s="3">
        <f t="shared" si="1"/>
        <v>32.25</v>
      </c>
    </row>
    <row r="85" spans="1:17">
      <c r="A85" t="s">
        <v>132</v>
      </c>
      <c r="B85" t="s">
        <v>132</v>
      </c>
      <c r="C85" t="s">
        <v>165</v>
      </c>
      <c r="D85" t="s">
        <v>165</v>
      </c>
      <c r="E85">
        <v>2012</v>
      </c>
      <c r="F85" s="3">
        <v>150</v>
      </c>
      <c r="G85" s="2">
        <v>0</v>
      </c>
      <c r="H85" s="14">
        <f>'Omzet&amp;Prijs'!$C$23/SUM('Omzet&amp;Prijs'!$C$17:$C$24)*$Q85</f>
        <v>0.27208221206695821</v>
      </c>
      <c r="I85" s="14">
        <f>'Omzet&amp;Prijs'!$C$18/SUM('Omzet&amp;Prijs'!$C$17:$C$24)*$Q85</f>
        <v>72.025624708114904</v>
      </c>
      <c r="J85" s="14">
        <f>'Omzet&amp;Prijs'!$C$19/SUM('Omzet&amp;Prijs'!$C$17:$C$24)*$Q85</f>
        <v>15.300385759290579</v>
      </c>
      <c r="K85" s="14">
        <v>0</v>
      </c>
      <c r="L85" s="14">
        <f>'Omzet&amp;Prijs'!$C$21/SUM('Omzet&amp;Prijs'!$C$17:$C$24)*$Q85</f>
        <v>7.7655116015747563</v>
      </c>
      <c r="M85" s="14">
        <f>'Omzet&amp;Prijs'!$C$20/SUM('Omzet&amp;Prijs'!$C$17:$C$24)*$Q85</f>
        <v>10.889209163850904</v>
      </c>
      <c r="N85" s="14">
        <f>'Omzet&amp;Prijs'!$C$24/SUM('Omzet&amp;Prijs'!$C$17:$C$24)*$Q85</f>
        <v>21.35705421352452</v>
      </c>
      <c r="O85" s="14">
        <f>'Omzet&amp;Prijs'!$C$22/SUM('Omzet&amp;Prijs'!$C$17:$C$24)*$Q85</f>
        <v>19.076703859907354</v>
      </c>
      <c r="P85" s="14">
        <f>'Omzet&amp;Prijs'!$C$17/SUM('Omzet&amp;Prijs'!$C$17:$C$24)*$Q85</f>
        <v>3.313428481670019</v>
      </c>
      <c r="Q85" s="3">
        <f t="shared" si="1"/>
        <v>150</v>
      </c>
    </row>
    <row r="86" spans="1:17" hidden="1">
      <c r="A86" t="s">
        <v>132</v>
      </c>
      <c r="B86" t="s">
        <v>122</v>
      </c>
      <c r="C86" t="s">
        <v>166</v>
      </c>
      <c r="D86" t="s">
        <v>166</v>
      </c>
      <c r="E86">
        <v>2012</v>
      </c>
      <c r="F86" s="3">
        <f>152.97+39.88+247.4+180.02-12781.24</f>
        <v>-12160.97</v>
      </c>
      <c r="G86"/>
      <c r="H86"/>
      <c r="I86"/>
      <c r="J86"/>
      <c r="K86"/>
      <c r="L86"/>
      <c r="M86"/>
      <c r="N86"/>
      <c r="O86"/>
      <c r="P86"/>
      <c r="Q86" s="3">
        <f t="shared" si="1"/>
        <v>12160.97</v>
      </c>
    </row>
    <row r="87" spans="1:17">
      <c r="A87" t="s">
        <v>132</v>
      </c>
      <c r="B87" t="s">
        <v>132</v>
      </c>
      <c r="C87" t="s">
        <v>168</v>
      </c>
      <c r="D87" t="s">
        <v>169</v>
      </c>
      <c r="E87">
        <v>2012</v>
      </c>
      <c r="F87" s="3">
        <v>5118.57</v>
      </c>
      <c r="G87" s="2">
        <v>0</v>
      </c>
      <c r="H87" s="14">
        <f>'Omzet&amp;Prijs'!$C$23/SUM('Omzet&amp;Prijs'!$C$17:$C$24)*$Q87</f>
        <v>9.2844789881304681</v>
      </c>
      <c r="I87" s="14">
        <f>'Omzet&amp;Prijs'!$C$18/SUM('Omzet&amp;Prijs'!$C$17:$C$24)*$Q87</f>
        <v>2457.7880124147709</v>
      </c>
      <c r="J87" s="14">
        <f>'Omzet&amp;Prijs'!$C$19/SUM('Omzet&amp;Prijs'!$C$17:$C$24)*$Q87</f>
        <v>522.1073035728798</v>
      </c>
      <c r="K87" s="14">
        <v>0</v>
      </c>
      <c r="L87" s="14">
        <f>'Omzet&amp;Prijs'!$C$21/SUM('Omzet&amp;Prijs'!$C$17:$C$24)*$Q87</f>
        <v>264.98876478981668</v>
      </c>
      <c r="M87" s="14">
        <f>'Omzet&amp;Prijs'!$C$20/SUM('Omzet&amp;Prijs'!$C$17:$C$24)*$Q87</f>
        <v>371.58119566541541</v>
      </c>
      <c r="N87" s="14">
        <f>'Omzet&amp;Prijs'!$C$24/SUM('Omzet&amp;Prijs'!$C$17:$C$24)*$Q87</f>
        <v>728.78384657146796</v>
      </c>
      <c r="O87" s="14">
        <f>'Omzet&amp;Prijs'!$C$22/SUM('Omzet&amp;Prijs'!$C$17:$C$24)*$Q87</f>
        <v>650.96962717470649</v>
      </c>
      <c r="P87" s="14">
        <f>'Omzet&amp;Prijs'!$C$17/SUM('Omzet&amp;Prijs'!$C$17:$C$24)*$Q87</f>
        <v>113.06677082281139</v>
      </c>
      <c r="Q87" s="3">
        <f t="shared" si="1"/>
        <v>5118.57</v>
      </c>
    </row>
    <row r="88" spans="1:17">
      <c r="A88" t="s">
        <v>132</v>
      </c>
      <c r="B88" t="s">
        <v>132</v>
      </c>
      <c r="C88" t="s">
        <v>156</v>
      </c>
      <c r="D88" t="s">
        <v>170</v>
      </c>
      <c r="E88">
        <v>2012</v>
      </c>
      <c r="F88" s="3">
        <v>100</v>
      </c>
      <c r="G88" s="2">
        <v>0</v>
      </c>
      <c r="H88" s="14">
        <f>'Omzet&amp;Prijs'!$C$23/SUM('Omzet&amp;Prijs'!$C$17:$C$24)*$Q88</f>
        <v>0.18138814137797216</v>
      </c>
      <c r="I88" s="14">
        <f>'Omzet&amp;Prijs'!$C$18/SUM('Omzet&amp;Prijs'!$C$17:$C$24)*$Q88</f>
        <v>48.017083138743267</v>
      </c>
      <c r="J88" s="14">
        <f>'Omzet&amp;Prijs'!$C$19/SUM('Omzet&amp;Prijs'!$C$17:$C$24)*$Q88</f>
        <v>10.200257172860386</v>
      </c>
      <c r="K88" s="14">
        <v>0</v>
      </c>
      <c r="L88" s="14">
        <f>'Omzet&amp;Prijs'!$C$21/SUM('Omzet&amp;Prijs'!$C$17:$C$24)*$Q88</f>
        <v>5.1770077343831709</v>
      </c>
      <c r="M88" s="14">
        <f>'Omzet&amp;Prijs'!$C$20/SUM('Omzet&amp;Prijs'!$C$17:$C$24)*$Q88</f>
        <v>7.2594727759006021</v>
      </c>
      <c r="N88" s="14">
        <f>'Omzet&amp;Prijs'!$C$24/SUM('Omzet&amp;Prijs'!$C$17:$C$24)*$Q88</f>
        <v>14.23803614234968</v>
      </c>
      <c r="O88" s="14">
        <f>'Omzet&amp;Prijs'!$C$22/SUM('Omzet&amp;Prijs'!$C$17:$C$24)*$Q88</f>
        <v>12.71780257327157</v>
      </c>
      <c r="P88" s="14">
        <f>'Omzet&amp;Prijs'!$C$17/SUM('Omzet&amp;Prijs'!$C$17:$C$24)*$Q88</f>
        <v>2.2089523211133462</v>
      </c>
      <c r="Q88" s="3">
        <f t="shared" si="1"/>
        <v>100</v>
      </c>
    </row>
    <row r="89" spans="1:17" ht="14.45" thickBot="1">
      <c r="A89" s="11" t="s">
        <v>132</v>
      </c>
      <c r="B89" s="11" t="s">
        <v>132</v>
      </c>
      <c r="C89" s="11" t="s">
        <v>171</v>
      </c>
      <c r="D89" s="11" t="s">
        <v>172</v>
      </c>
      <c r="E89" s="11">
        <v>2012</v>
      </c>
      <c r="F89" s="12">
        <v>659.72</v>
      </c>
      <c r="G89" s="13">
        <v>0</v>
      </c>
      <c r="H89" s="15">
        <f>'Omzet&amp;Prijs'!$C$23/SUM('Omzet&amp;Prijs'!$C$17:$C$24)*$Q89</f>
        <v>1.1966538462987579</v>
      </c>
      <c r="I89" s="15">
        <f>'Omzet&amp;Prijs'!$C$18/SUM('Omzet&amp;Prijs'!$C$17:$C$24)*$Q89</f>
        <v>316.77830088291711</v>
      </c>
      <c r="J89" s="15">
        <f>'Omzet&amp;Prijs'!$C$19/SUM('Omzet&amp;Prijs'!$C$17:$C$24)*$Q89</f>
        <v>67.293136620794542</v>
      </c>
      <c r="K89" s="15">
        <v>0</v>
      </c>
      <c r="L89" s="15">
        <f>'Omzet&amp;Prijs'!$C$21/SUM('Omzet&amp;Prijs'!$C$17:$C$24)*$Q89</f>
        <v>34.153755425272657</v>
      </c>
      <c r="M89" s="15">
        <f>'Omzet&amp;Prijs'!$C$20/SUM('Omzet&amp;Prijs'!$C$17:$C$24)*$Q89</f>
        <v>47.892193797171458</v>
      </c>
      <c r="N89" s="15">
        <f>'Omzet&amp;Prijs'!$C$24/SUM('Omzet&amp;Prijs'!$C$17:$C$24)*$Q89</f>
        <v>93.931172038309313</v>
      </c>
      <c r="O89" s="15">
        <f>'Omzet&amp;Prijs'!$C$22/SUM('Omzet&amp;Prijs'!$C$17:$C$24)*$Q89</f>
        <v>83.901887136387202</v>
      </c>
      <c r="P89" s="15">
        <f>'Omzet&amp;Prijs'!$C$17/SUM('Omzet&amp;Prijs'!$C$17:$C$24)*$Q89</f>
        <v>14.572900252848967</v>
      </c>
      <c r="Q89" s="12">
        <f t="shared" si="1"/>
        <v>659.72</v>
      </c>
    </row>
    <row r="90" spans="1:17" hidden="1">
      <c r="A90" t="s">
        <v>118</v>
      </c>
      <c r="B90" t="s">
        <v>122</v>
      </c>
      <c r="C90" t="s">
        <v>154</v>
      </c>
      <c r="D90" t="s">
        <v>173</v>
      </c>
      <c r="E90">
        <v>2012</v>
      </c>
      <c r="F90" s="3">
        <v>396.79</v>
      </c>
      <c r="G90"/>
      <c r="H90"/>
      <c r="I90"/>
      <c r="J90"/>
      <c r="K90"/>
      <c r="L90"/>
      <c r="M90"/>
      <c r="N90"/>
      <c r="O90"/>
      <c r="P90"/>
      <c r="Q90" s="3">
        <f t="shared" si="1"/>
        <v>396.79</v>
      </c>
    </row>
    <row r="91" spans="1:17" hidden="1">
      <c r="A91" t="s">
        <v>118</v>
      </c>
      <c r="B91" t="s">
        <v>119</v>
      </c>
      <c r="C91" t="s">
        <v>120</v>
      </c>
      <c r="D91" t="s">
        <v>121</v>
      </c>
      <c r="E91">
        <v>2013</v>
      </c>
      <c r="F91" s="3">
        <v>-237971.49</v>
      </c>
      <c r="G91"/>
      <c r="H91"/>
      <c r="I91"/>
      <c r="J91"/>
      <c r="K91"/>
      <c r="L91"/>
      <c r="M91"/>
      <c r="N91"/>
      <c r="O91"/>
      <c r="P91"/>
      <c r="Q91" s="3">
        <f t="shared" si="1"/>
        <v>237971.49</v>
      </c>
    </row>
    <row r="92" spans="1:17" hidden="1">
      <c r="A92" t="s">
        <v>118</v>
      </c>
      <c r="B92" t="s">
        <v>122</v>
      </c>
      <c r="C92" t="s">
        <v>123</v>
      </c>
      <c r="D92" t="s">
        <v>124</v>
      </c>
      <c r="E92">
        <v>2013</v>
      </c>
      <c r="F92" s="3">
        <v>-2373.4899999999998</v>
      </c>
      <c r="G92"/>
      <c r="H92"/>
      <c r="I92"/>
      <c r="J92"/>
      <c r="K92"/>
      <c r="L92"/>
      <c r="M92"/>
      <c r="N92"/>
      <c r="O92"/>
      <c r="P92"/>
      <c r="Q92" s="3">
        <f t="shared" si="1"/>
        <v>2373.4899999999998</v>
      </c>
    </row>
    <row r="93" spans="1:17" hidden="1">
      <c r="A93" t="s">
        <v>118</v>
      </c>
      <c r="B93" t="s">
        <v>122</v>
      </c>
      <c r="C93" t="s">
        <v>123</v>
      </c>
      <c r="D93" t="s">
        <v>125</v>
      </c>
      <c r="E93">
        <v>2013</v>
      </c>
      <c r="F93" s="3">
        <v>-85137.36</v>
      </c>
      <c r="G93"/>
      <c r="H93"/>
      <c r="I93"/>
      <c r="J93"/>
      <c r="K93"/>
      <c r="L93"/>
      <c r="M93"/>
      <c r="N93"/>
      <c r="O93"/>
      <c r="P93"/>
      <c r="Q93" s="3">
        <f t="shared" si="1"/>
        <v>85137.36</v>
      </c>
    </row>
    <row r="94" spans="1:17" hidden="1">
      <c r="A94" t="s">
        <v>118</v>
      </c>
      <c r="B94" t="s">
        <v>122</v>
      </c>
      <c r="C94" t="s">
        <v>123</v>
      </c>
      <c r="D94" t="s">
        <v>126</v>
      </c>
      <c r="E94">
        <v>2013</v>
      </c>
      <c r="F94" s="3">
        <v>-4120.09</v>
      </c>
      <c r="G94"/>
      <c r="H94"/>
      <c r="I94"/>
      <c r="J94"/>
      <c r="K94"/>
      <c r="L94"/>
      <c r="M94"/>
      <c r="N94"/>
      <c r="O94"/>
      <c r="P94"/>
      <c r="Q94" s="3">
        <f t="shared" si="1"/>
        <v>4120.09</v>
      </c>
    </row>
    <row r="95" spans="1:17" hidden="1">
      <c r="A95" t="s">
        <v>118</v>
      </c>
      <c r="B95" t="s">
        <v>122</v>
      </c>
      <c r="C95" t="s">
        <v>127</v>
      </c>
      <c r="D95" t="s">
        <v>128</v>
      </c>
      <c r="E95">
        <v>2013</v>
      </c>
      <c r="F95" s="3">
        <v>-492.76</v>
      </c>
      <c r="G95"/>
      <c r="H95"/>
      <c r="I95"/>
      <c r="J95"/>
      <c r="K95"/>
      <c r="L95"/>
      <c r="M95"/>
      <c r="N95"/>
      <c r="O95"/>
      <c r="P95"/>
      <c r="Q95" s="3">
        <f t="shared" si="1"/>
        <v>492.76</v>
      </c>
    </row>
    <row r="96" spans="1:17" hidden="1">
      <c r="A96" t="s">
        <v>118</v>
      </c>
      <c r="B96" t="s">
        <v>122</v>
      </c>
      <c r="C96" t="s">
        <v>129</v>
      </c>
      <c r="D96" t="s">
        <v>130</v>
      </c>
      <c r="E96">
        <v>2013</v>
      </c>
      <c r="F96" s="3">
        <v>-715.33</v>
      </c>
      <c r="G96"/>
      <c r="H96"/>
      <c r="I96"/>
      <c r="J96"/>
      <c r="K96"/>
      <c r="L96"/>
      <c r="M96"/>
      <c r="N96"/>
      <c r="O96"/>
      <c r="P96"/>
      <c r="Q96" s="3">
        <f t="shared" si="1"/>
        <v>715.33</v>
      </c>
    </row>
    <row r="97" spans="1:17" hidden="1">
      <c r="A97" t="s">
        <v>118</v>
      </c>
      <c r="B97" t="s">
        <v>122</v>
      </c>
      <c r="C97" t="s">
        <v>129</v>
      </c>
      <c r="D97" t="s">
        <v>131</v>
      </c>
      <c r="E97">
        <v>2013</v>
      </c>
      <c r="F97" s="3">
        <v>-2245.65</v>
      </c>
      <c r="G97"/>
      <c r="H97"/>
      <c r="I97"/>
      <c r="J97"/>
      <c r="K97"/>
      <c r="L97"/>
      <c r="M97"/>
      <c r="N97"/>
      <c r="O97"/>
      <c r="P97"/>
      <c r="Q97" s="3">
        <f t="shared" si="1"/>
        <v>2245.65</v>
      </c>
    </row>
    <row r="98" spans="1:17">
      <c r="A98" t="s">
        <v>118</v>
      </c>
      <c r="B98" t="s">
        <v>132</v>
      </c>
      <c r="C98" t="s">
        <v>133</v>
      </c>
      <c r="D98" t="s">
        <v>133</v>
      </c>
      <c r="E98">
        <v>2013</v>
      </c>
      <c r="F98" s="3">
        <v>1655.6</v>
      </c>
      <c r="G98" s="2">
        <v>0</v>
      </c>
      <c r="H98" s="14">
        <v>0</v>
      </c>
      <c r="I98" s="14">
        <f>'Omzet&amp;Prijs'!$C$26/SUM('Omzet&amp;Prijs'!$C$25:$C$30)*$Q98</f>
        <v>485.25667915943984</v>
      </c>
      <c r="J98" s="14">
        <f>'Omzet&amp;Prijs'!$C$27/SUM('Omzet&amp;Prijs'!$C$25:$C$30)*$Q98</f>
        <v>223.51111202376413</v>
      </c>
      <c r="K98" s="14">
        <v>0</v>
      </c>
      <c r="L98" s="14">
        <f>'Omzet&amp;Prijs'!$C$28/SUM('Omzet&amp;Prijs'!$C$25:$C$30)*$Q98</f>
        <v>383.75626571091857</v>
      </c>
      <c r="M98" s="14">
        <v>0</v>
      </c>
      <c r="N98" s="14">
        <f>'Omzet&amp;Prijs'!$C$30/SUM('Omzet&amp;Prijs'!$C$25:$C$30)*$Q98</f>
        <v>200.33577509201794</v>
      </c>
      <c r="O98" s="14">
        <f>'Omzet&amp;Prijs'!$C$29/SUM('Omzet&amp;Prijs'!$C$25:$C$30)*$Q98</f>
        <v>283.02700913192837</v>
      </c>
      <c r="P98" s="14">
        <f>'Omzet&amp;Prijs'!$C$25/SUM('Omzet&amp;Prijs'!$C$25:$C$30)*$Q98</f>
        <v>79.713158881931022</v>
      </c>
      <c r="Q98" s="3">
        <f t="shared" si="1"/>
        <v>1655.6</v>
      </c>
    </row>
    <row r="99" spans="1:17">
      <c r="A99" t="s">
        <v>118</v>
      </c>
      <c r="B99" t="s">
        <v>132</v>
      </c>
      <c r="C99" t="s">
        <v>134</v>
      </c>
      <c r="D99" t="s">
        <v>135</v>
      </c>
      <c r="E99">
        <v>2013</v>
      </c>
      <c r="F99" s="3">
        <f>4537.87+4764.72+332.41</f>
        <v>9635</v>
      </c>
      <c r="G99" s="2">
        <v>0</v>
      </c>
      <c r="H99" s="14">
        <v>0</v>
      </c>
      <c r="I99" s="14">
        <f>'Omzet&amp;Prijs'!$C$26/SUM('Omzet&amp;Prijs'!$C$25:$C$30)*$Q99</f>
        <v>2824.020357393817</v>
      </c>
      <c r="J99" s="14">
        <f>'Omzet&amp;Prijs'!$C$27/SUM('Omzet&amp;Prijs'!$C$25:$C$30)*$Q99</f>
        <v>1300.7547501503791</v>
      </c>
      <c r="K99" s="14">
        <v>0</v>
      </c>
      <c r="L99" s="14">
        <f>'Omzet&amp;Prijs'!$C$28/SUM('Omzet&amp;Prijs'!$C$25:$C$30)*$Q99</f>
        <v>2233.3242450620323</v>
      </c>
      <c r="M99" s="14">
        <v>0</v>
      </c>
      <c r="N99" s="14">
        <f>'Omzet&amp;Prijs'!$C$30/SUM('Omzet&amp;Prijs'!$C$25:$C$30)*$Q99</f>
        <v>1165.8825761123417</v>
      </c>
      <c r="O99" s="14">
        <f>'Omzet&amp;Prijs'!$C$29/SUM('Omzet&amp;Prijs'!$C$25:$C$30)*$Q99</f>
        <v>1647.1159899650461</v>
      </c>
      <c r="P99" s="14">
        <f>'Omzet&amp;Prijs'!$C$25/SUM('Omzet&amp;Prijs'!$C$25:$C$30)*$Q99</f>
        <v>463.90208131638406</v>
      </c>
      <c r="Q99" s="3">
        <f t="shared" si="1"/>
        <v>9635</v>
      </c>
    </row>
    <row r="100" spans="1:17">
      <c r="A100" t="s">
        <v>118</v>
      </c>
      <c r="B100" t="s">
        <v>132</v>
      </c>
      <c r="C100" t="s">
        <v>136</v>
      </c>
      <c r="D100" t="s">
        <v>137</v>
      </c>
      <c r="E100">
        <v>2013</v>
      </c>
      <c r="F100" s="3">
        <v>579.85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f>Q100</f>
        <v>579.85</v>
      </c>
      <c r="O100" s="2">
        <v>0</v>
      </c>
      <c r="P100" s="2">
        <v>0</v>
      </c>
      <c r="Q100" s="3">
        <f t="shared" si="1"/>
        <v>579.85</v>
      </c>
    </row>
    <row r="101" spans="1:17">
      <c r="A101" t="s">
        <v>118</v>
      </c>
      <c r="B101" t="s">
        <v>132</v>
      </c>
      <c r="C101" t="s">
        <v>138</v>
      </c>
      <c r="D101" t="s">
        <v>139</v>
      </c>
      <c r="E101">
        <v>2013</v>
      </c>
      <c r="F101" s="3">
        <v>1328.87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f>Q101</f>
        <v>1328.87</v>
      </c>
      <c r="O101" s="2">
        <v>0</v>
      </c>
      <c r="P101" s="2">
        <v>0</v>
      </c>
      <c r="Q101" s="3">
        <f t="shared" si="1"/>
        <v>1328.87</v>
      </c>
    </row>
    <row r="102" spans="1:17">
      <c r="A102" t="s">
        <v>118</v>
      </c>
      <c r="B102" t="s">
        <v>132</v>
      </c>
      <c r="C102" t="s">
        <v>140</v>
      </c>
      <c r="D102" t="s">
        <v>141</v>
      </c>
      <c r="E102">
        <v>2013</v>
      </c>
      <c r="F102" s="3">
        <v>1087.26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f>Q102</f>
        <v>1087.26</v>
      </c>
      <c r="O102" s="2">
        <v>0</v>
      </c>
      <c r="P102" s="2">
        <v>0</v>
      </c>
      <c r="Q102" s="3">
        <f t="shared" si="1"/>
        <v>1087.26</v>
      </c>
    </row>
    <row r="103" spans="1:17" hidden="1">
      <c r="A103" t="s">
        <v>123</v>
      </c>
      <c r="B103" t="s">
        <v>122</v>
      </c>
      <c r="C103" t="s">
        <v>123</v>
      </c>
      <c r="D103" t="s">
        <v>142</v>
      </c>
      <c r="E103">
        <v>2013</v>
      </c>
      <c r="F103" s="3">
        <f>-117.86+-1530.86+4148.3+77754.34+5889.98+2189+81.66+98.31+9+-81.66+-109.06+-9</f>
        <v>88322.15</v>
      </c>
      <c r="G103"/>
      <c r="H103"/>
      <c r="I103"/>
      <c r="J103"/>
      <c r="K103"/>
      <c r="L103"/>
      <c r="M103"/>
      <c r="N103"/>
      <c r="O103"/>
      <c r="P103"/>
      <c r="Q103" s="3">
        <f t="shared" si="1"/>
        <v>88322.15</v>
      </c>
    </row>
    <row r="104" spans="1:17" hidden="1">
      <c r="A104" t="s">
        <v>132</v>
      </c>
      <c r="B104" t="s">
        <v>122</v>
      </c>
      <c r="C104" t="s">
        <v>143</v>
      </c>
      <c r="D104" t="s">
        <v>143</v>
      </c>
      <c r="E104">
        <v>2013</v>
      </c>
      <c r="F104" s="3">
        <v>18075</v>
      </c>
      <c r="G104"/>
      <c r="H104"/>
      <c r="I104"/>
      <c r="J104"/>
      <c r="K104"/>
      <c r="L104"/>
      <c r="M104"/>
      <c r="N104"/>
      <c r="O104"/>
      <c r="P104"/>
      <c r="Q104" s="3">
        <f t="shared" si="1"/>
        <v>18075</v>
      </c>
    </row>
    <row r="105" spans="1:17">
      <c r="A105" t="s">
        <v>132</v>
      </c>
      <c r="B105" t="s">
        <v>132</v>
      </c>
      <c r="C105" t="s">
        <v>144</v>
      </c>
      <c r="D105" t="s">
        <v>145</v>
      </c>
      <c r="E105">
        <v>2013</v>
      </c>
      <c r="F105" s="3">
        <v>0</v>
      </c>
      <c r="G105" s="2">
        <v>0</v>
      </c>
      <c r="H105" s="14">
        <v>0</v>
      </c>
      <c r="I105" s="14">
        <f>'Omzet&amp;Prijs'!$C$26/SUM('Omzet&amp;Prijs'!$C$25:$C$30)*$Q105</f>
        <v>0</v>
      </c>
      <c r="J105" s="14">
        <f>'Omzet&amp;Prijs'!$C$27/SUM('Omzet&amp;Prijs'!$C$25:$C$30)*$Q105</f>
        <v>0</v>
      </c>
      <c r="K105" s="14">
        <v>0</v>
      </c>
      <c r="L105" s="14">
        <f>'Omzet&amp;Prijs'!$C$28/SUM('Omzet&amp;Prijs'!$C$25:$C$30)*$Q105</f>
        <v>0</v>
      </c>
      <c r="M105" s="14">
        <v>0</v>
      </c>
      <c r="N105" s="14">
        <f>'Omzet&amp;Prijs'!$C$30/SUM('Omzet&amp;Prijs'!$C$25:$C$30)*$Q105</f>
        <v>0</v>
      </c>
      <c r="O105" s="14">
        <f>'Omzet&amp;Prijs'!$C$29/SUM('Omzet&amp;Prijs'!$C$25:$C$30)*$Q105</f>
        <v>0</v>
      </c>
      <c r="P105" s="14">
        <f>'Omzet&amp;Prijs'!$C$25/SUM('Omzet&amp;Prijs'!$C$25:$C$30)*$Q105</f>
        <v>0</v>
      </c>
      <c r="Q105" s="3">
        <f t="shared" si="1"/>
        <v>0</v>
      </c>
    </row>
    <row r="106" spans="1:17">
      <c r="A106" t="s">
        <v>132</v>
      </c>
      <c r="B106" t="s">
        <v>132</v>
      </c>
      <c r="C106" t="s">
        <v>144</v>
      </c>
      <c r="D106" t="s">
        <v>146</v>
      </c>
      <c r="E106">
        <v>2013</v>
      </c>
      <c r="F106" s="3">
        <v>54.24</v>
      </c>
      <c r="G106" s="2">
        <v>0</v>
      </c>
      <c r="H106" s="14">
        <v>0</v>
      </c>
      <c r="I106" s="14">
        <f>'Omzet&amp;Prijs'!$C$26/SUM('Omzet&amp;Prijs'!$C$25:$C$30)*$Q106</f>
        <v>15.897754456153672</v>
      </c>
      <c r="J106" s="14">
        <f>'Omzet&amp;Prijs'!$C$27/SUM('Omzet&amp;Prijs'!$C$25:$C$30)*$Q106</f>
        <v>7.3225674777536653</v>
      </c>
      <c r="K106" s="14">
        <v>0</v>
      </c>
      <c r="L106" s="14">
        <f>'Omzet&amp;Prijs'!$C$28/SUM('Omzet&amp;Prijs'!$C$25:$C$30)*$Q106</f>
        <v>12.572444945735821</v>
      </c>
      <c r="M106" s="14">
        <v>0</v>
      </c>
      <c r="N106" s="14">
        <f>'Omzet&amp;Prijs'!$C$30/SUM('Omzet&amp;Prijs'!$C$25:$C$30)*$Q106</f>
        <v>6.5633078285763791</v>
      </c>
      <c r="O106" s="14">
        <f>'Omzet&amp;Prijs'!$C$29/SUM('Omzet&amp;Prijs'!$C$25:$C$30)*$Q106</f>
        <v>9.2723997193258008</v>
      </c>
      <c r="P106" s="14">
        <f>'Omzet&amp;Prijs'!$C$25/SUM('Omzet&amp;Prijs'!$C$25:$C$30)*$Q106</f>
        <v>2.6115255724546622</v>
      </c>
      <c r="Q106" s="3">
        <f t="shared" si="1"/>
        <v>54.24</v>
      </c>
    </row>
    <row r="107" spans="1:17">
      <c r="A107" t="s">
        <v>132</v>
      </c>
      <c r="B107" t="s">
        <v>132</v>
      </c>
      <c r="C107" t="s">
        <v>147</v>
      </c>
      <c r="D107" t="s">
        <v>148</v>
      </c>
      <c r="E107">
        <v>2013</v>
      </c>
      <c r="F107" s="3">
        <v>0</v>
      </c>
      <c r="G107" s="2">
        <v>0</v>
      </c>
      <c r="H107" s="14">
        <v>0</v>
      </c>
      <c r="I107" s="14">
        <f>'Omzet&amp;Prijs'!$C$26/SUM('Omzet&amp;Prijs'!$C$25:$C$30)*$Q107</f>
        <v>0</v>
      </c>
      <c r="J107" s="14">
        <f>'Omzet&amp;Prijs'!$C$27/SUM('Omzet&amp;Prijs'!$C$25:$C$30)*$Q107</f>
        <v>0</v>
      </c>
      <c r="K107" s="14">
        <v>0</v>
      </c>
      <c r="L107" s="14">
        <f>'Omzet&amp;Prijs'!$C$28/SUM('Omzet&amp;Prijs'!$C$25:$C$30)*$Q107</f>
        <v>0</v>
      </c>
      <c r="M107" s="14">
        <v>0</v>
      </c>
      <c r="N107" s="14">
        <f>'Omzet&amp;Prijs'!$C$30/SUM('Omzet&amp;Prijs'!$C$25:$C$30)*$Q107</f>
        <v>0</v>
      </c>
      <c r="O107" s="14">
        <f>'Omzet&amp;Prijs'!$C$29/SUM('Omzet&amp;Prijs'!$C$25:$C$30)*$Q107</f>
        <v>0</v>
      </c>
      <c r="P107" s="14">
        <f>'Omzet&amp;Prijs'!$C$25/SUM('Omzet&amp;Prijs'!$C$25:$C$30)*$Q107</f>
        <v>0</v>
      </c>
      <c r="Q107" s="3">
        <f t="shared" si="1"/>
        <v>0</v>
      </c>
    </row>
    <row r="108" spans="1:17">
      <c r="A108" t="s">
        <v>132</v>
      </c>
      <c r="B108" t="s">
        <v>132</v>
      </c>
      <c r="C108" t="s">
        <v>149</v>
      </c>
      <c r="D108" t="s">
        <v>150</v>
      </c>
      <c r="E108">
        <v>2013</v>
      </c>
      <c r="F108" s="3">
        <v>2254</v>
      </c>
      <c r="G108" s="2">
        <v>0</v>
      </c>
      <c r="H108" s="14">
        <v>0</v>
      </c>
      <c r="I108" s="14">
        <f>'Omzet&amp;Prijs'!$C$26/SUM('Omzet&amp;Prijs'!$C$25:$C$30)*$Q108</f>
        <v>660.64783451641551</v>
      </c>
      <c r="J108" s="14">
        <f>'Omzet&amp;Prijs'!$C$27/SUM('Omzet&amp;Prijs'!$C$25:$C$30)*$Q108</f>
        <v>304.29695971343585</v>
      </c>
      <c r="K108" s="14">
        <v>0</v>
      </c>
      <c r="L108" s="14">
        <f>'Omzet&amp;Prijs'!$C$28/SUM('Omzet&amp;Prijs'!$C$25:$C$30)*$Q108</f>
        <v>522.46111555472976</v>
      </c>
      <c r="M108" s="14">
        <v>0</v>
      </c>
      <c r="N108" s="14">
        <f>'Omzet&amp;Prijs'!$C$30/SUM('Omzet&amp;Prijs'!$C$25:$C$30)*$Q108</f>
        <v>272.74512989696086</v>
      </c>
      <c r="O108" s="14">
        <f>'Omzet&amp;Prijs'!$C$29/SUM('Omzet&amp;Prijs'!$C$25:$C$30)*$Q108</f>
        <v>385.32428037168796</v>
      </c>
      <c r="P108" s="14">
        <f>'Omzet&amp;Prijs'!$C$25/SUM('Omzet&amp;Prijs'!$C$25:$C$30)*$Q108</f>
        <v>108.52467994677006</v>
      </c>
      <c r="Q108" s="3">
        <f t="shared" si="1"/>
        <v>2254</v>
      </c>
    </row>
    <row r="109" spans="1:17">
      <c r="A109" t="s">
        <v>132</v>
      </c>
      <c r="B109" t="s">
        <v>132</v>
      </c>
      <c r="C109" t="s">
        <v>123</v>
      </c>
      <c r="D109" t="s">
        <v>151</v>
      </c>
      <c r="E109">
        <v>2013</v>
      </c>
      <c r="F109" s="3">
        <v>0.23</v>
      </c>
      <c r="G109" s="2">
        <v>0</v>
      </c>
      <c r="H109" s="14">
        <v>0</v>
      </c>
      <c r="I109" s="14">
        <f>'Omzet&amp;Prijs'!$C$26/SUM('Omzet&amp;Prijs'!$C$25:$C$30)*$Q109</f>
        <v>6.741304433840975E-2</v>
      </c>
      <c r="J109" s="14">
        <f>'Omzet&amp;Prijs'!$C$27/SUM('Omzet&amp;Prijs'!$C$25:$C$30)*$Q109</f>
        <v>3.1050710174840394E-2</v>
      </c>
      <c r="K109" s="14">
        <v>0</v>
      </c>
      <c r="L109" s="14">
        <f>'Omzet&amp;Prijs'!$C$28/SUM('Omzet&amp;Prijs'!$C$25:$C$30)*$Q109</f>
        <v>5.3312358730074463E-2</v>
      </c>
      <c r="M109" s="14">
        <v>0</v>
      </c>
      <c r="N109" s="14">
        <f>'Omzet&amp;Prijs'!$C$30/SUM('Omzet&amp;Prijs'!$C$25:$C$30)*$Q109</f>
        <v>2.783113570377152E-2</v>
      </c>
      <c r="O109" s="14">
        <f>'Omzet&amp;Prijs'!$C$29/SUM('Omzet&amp;Prijs'!$C$25:$C$30)*$Q109</f>
        <v>3.931880411956E-2</v>
      </c>
      <c r="P109" s="14">
        <f>'Omzet&amp;Prijs'!$C$25/SUM('Omzet&amp;Prijs'!$C$25:$C$30)*$Q109</f>
        <v>1.1073946933343886E-2</v>
      </c>
      <c r="Q109" s="3">
        <f t="shared" si="1"/>
        <v>0.23</v>
      </c>
    </row>
    <row r="110" spans="1:17">
      <c r="A110" t="s">
        <v>132</v>
      </c>
      <c r="B110" t="s">
        <v>132</v>
      </c>
      <c r="C110" t="s">
        <v>152</v>
      </c>
      <c r="D110" t="s">
        <v>153</v>
      </c>
      <c r="E110">
        <v>2013</v>
      </c>
      <c r="F110" s="3">
        <f>-488+13188.05</f>
        <v>12700.05</v>
      </c>
      <c r="G110" s="10">
        <v>0</v>
      </c>
      <c r="H110" s="10">
        <v>0</v>
      </c>
      <c r="I110" s="10">
        <f>'Omzet&amp;Prijs'!$C$26/(SUM('Omzet&amp;Prijs'!$C$25:$C$30)-'Omzet&amp;Prijs'!$C$29)*$Q110</f>
        <v>4489.9499911194125</v>
      </c>
      <c r="J110" s="10">
        <f>'Omzet&amp;Prijs'!$C$27/(SUM('Omzet&amp;Prijs'!$C$25:$C$30)-'Omzet&amp;Prijs'!$C$29)*$Q110</f>
        <v>2068.0884128880875</v>
      </c>
      <c r="K110" s="10">
        <v>0</v>
      </c>
      <c r="L110" s="10">
        <f>'Omzet&amp;Prijs'!$C$28/(SUM('Omzet&amp;Prijs'!$C$25:$C$30)-'Omzet&amp;Prijs'!$C$29)*$Q110</f>
        <v>3550.7938701748808</v>
      </c>
      <c r="M110" s="10">
        <v>0</v>
      </c>
      <c r="N110" s="10">
        <f>'Omzet&amp;Prijs'!$C$30/(SUM('Omzet&amp;Prijs'!$C$25:$C$30)-'Omzet&amp;Prijs'!$C$29)*$Q110</f>
        <v>1853.6532318388975</v>
      </c>
      <c r="O110" s="10">
        <v>0</v>
      </c>
      <c r="P110" s="10">
        <f>'Omzet&amp;Prijs'!$C$25/(SUM('Omzet&amp;Prijs'!$C$25:$C$30)-'Omzet&amp;Prijs'!$C$29)*$Q110</f>
        <v>737.56449397872041</v>
      </c>
      <c r="Q110" s="3">
        <f t="shared" si="1"/>
        <v>12700.05</v>
      </c>
    </row>
    <row r="111" spans="1:17">
      <c r="A111" t="s">
        <v>132</v>
      </c>
      <c r="B111" t="s">
        <v>132</v>
      </c>
      <c r="C111" t="s">
        <v>154</v>
      </c>
      <c r="D111" t="s">
        <v>155</v>
      </c>
      <c r="E111">
        <v>2013</v>
      </c>
      <c r="F111" s="3">
        <v>7819.04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f>Q111</f>
        <v>7819.04</v>
      </c>
      <c r="O111" s="2">
        <v>0</v>
      </c>
      <c r="P111" s="2">
        <v>0</v>
      </c>
      <c r="Q111" s="3">
        <f t="shared" si="1"/>
        <v>7819.04</v>
      </c>
    </row>
    <row r="112" spans="1:17">
      <c r="A112" t="s">
        <v>132</v>
      </c>
      <c r="B112" t="s">
        <v>132</v>
      </c>
      <c r="C112" t="s">
        <v>156</v>
      </c>
      <c r="D112" t="s">
        <v>157</v>
      </c>
      <c r="E112">
        <v>2013</v>
      </c>
      <c r="F112" s="3">
        <v>0</v>
      </c>
      <c r="G112" s="2">
        <v>0</v>
      </c>
      <c r="H112" s="14">
        <v>0</v>
      </c>
      <c r="I112" s="14">
        <f>'Omzet&amp;Prijs'!$C$26/SUM('Omzet&amp;Prijs'!$C$25:$C$30)*$Q112</f>
        <v>0</v>
      </c>
      <c r="J112" s="14">
        <f>'Omzet&amp;Prijs'!$C$27/SUM('Omzet&amp;Prijs'!$C$25:$C$30)*$Q112</f>
        <v>0</v>
      </c>
      <c r="K112" s="14">
        <v>0</v>
      </c>
      <c r="L112" s="14">
        <f>'Omzet&amp;Prijs'!$C$28/SUM('Omzet&amp;Prijs'!$C$25:$C$30)*$Q112</f>
        <v>0</v>
      </c>
      <c r="M112" s="14">
        <v>0</v>
      </c>
      <c r="N112" s="14">
        <f>'Omzet&amp;Prijs'!$C$30/SUM('Omzet&amp;Prijs'!$C$25:$C$30)*$Q112</f>
        <v>0</v>
      </c>
      <c r="O112" s="14">
        <f>'Omzet&amp;Prijs'!$C$29/SUM('Omzet&amp;Prijs'!$C$25:$C$30)*$Q112</f>
        <v>0</v>
      </c>
      <c r="P112" s="14">
        <f>'Omzet&amp;Prijs'!$C$25/SUM('Omzet&amp;Prijs'!$C$25:$C$30)*$Q112</f>
        <v>0</v>
      </c>
      <c r="Q112" s="3">
        <f t="shared" si="1"/>
        <v>0</v>
      </c>
    </row>
    <row r="113" spans="1:17" hidden="1">
      <c r="A113" t="s">
        <v>132</v>
      </c>
      <c r="B113" t="s">
        <v>119</v>
      </c>
      <c r="C113" t="s">
        <v>158</v>
      </c>
      <c r="D113" t="s">
        <v>159</v>
      </c>
      <c r="E113">
        <v>2013</v>
      </c>
      <c r="F113" s="3">
        <v>0</v>
      </c>
      <c r="G113"/>
      <c r="H113"/>
      <c r="I113"/>
      <c r="J113"/>
      <c r="K113"/>
      <c r="L113"/>
      <c r="M113"/>
      <c r="N113"/>
      <c r="O113"/>
      <c r="P113"/>
      <c r="Q113" s="3">
        <f t="shared" si="1"/>
        <v>0</v>
      </c>
    </row>
    <row r="114" spans="1:17">
      <c r="A114" t="s">
        <v>132</v>
      </c>
      <c r="B114" t="s">
        <v>132</v>
      </c>
      <c r="C114" t="s">
        <v>160</v>
      </c>
      <c r="D114" t="s">
        <v>161</v>
      </c>
      <c r="E114">
        <v>2013</v>
      </c>
      <c r="F114" s="3">
        <f>21066.53+1182.56</f>
        <v>22249.09</v>
      </c>
      <c r="G114" s="10">
        <v>0</v>
      </c>
      <c r="H114" s="10">
        <v>0</v>
      </c>
      <c r="I114" s="10">
        <f>'Omzet&amp;Prijs'!$C$26/(SUM('Omzet&amp;Prijs'!$C$25:$C$30)-'Omzet&amp;Prijs'!$C$29)*$Q114</f>
        <v>7865.898279763861</v>
      </c>
      <c r="J114" s="10">
        <f>'Omzet&amp;Prijs'!$C$27/(SUM('Omzet&amp;Prijs'!$C$25:$C$30)-'Omzet&amp;Prijs'!$C$29)*$Q114</f>
        <v>3623.0633128455579</v>
      </c>
      <c r="K114" s="10">
        <v>0</v>
      </c>
      <c r="L114" s="10">
        <f>'Omzet&amp;Prijs'!$C$28/(SUM('Omzet&amp;Prijs'!$C$25:$C$30)-'Omzet&amp;Prijs'!$C$29)*$Q114</f>
        <v>6220.6001070050306</v>
      </c>
      <c r="M114" s="10">
        <v>0</v>
      </c>
      <c r="N114" s="10">
        <f>'Omzet&amp;Prijs'!$C$30/(SUM('Omzet&amp;Prijs'!$C$25:$C$30)-'Omzet&amp;Prijs'!$C$29)*$Q114</f>
        <v>3247.3964735551826</v>
      </c>
      <c r="O114" s="10">
        <v>0</v>
      </c>
      <c r="P114" s="10">
        <f>'Omzet&amp;Prijs'!$C$25/(SUM('Omzet&amp;Prijs'!$C$25:$C$30)-'Omzet&amp;Prijs'!$C$29)*$Q114</f>
        <v>1292.1318268303676</v>
      </c>
      <c r="Q114" s="3">
        <f t="shared" si="1"/>
        <v>22249.09</v>
      </c>
    </row>
    <row r="115" spans="1:17" hidden="1">
      <c r="A115" t="s">
        <v>132</v>
      </c>
      <c r="B115" t="s">
        <v>122</v>
      </c>
      <c r="C115" t="s">
        <v>162</v>
      </c>
      <c r="D115" t="s">
        <v>163</v>
      </c>
      <c r="E115">
        <v>2013</v>
      </c>
      <c r="F115" s="3">
        <v>0</v>
      </c>
      <c r="G115"/>
      <c r="H115"/>
      <c r="I115"/>
      <c r="J115"/>
      <c r="K115"/>
      <c r="L115"/>
      <c r="M115"/>
      <c r="N115"/>
      <c r="O115"/>
      <c r="P115"/>
      <c r="Q115" s="3">
        <f t="shared" si="1"/>
        <v>0</v>
      </c>
    </row>
    <row r="116" spans="1:17">
      <c r="A116" t="s">
        <v>132</v>
      </c>
      <c r="B116" t="s">
        <v>132</v>
      </c>
      <c r="C116" t="s">
        <v>156</v>
      </c>
      <c r="D116" t="s">
        <v>167</v>
      </c>
      <c r="E116">
        <v>2013</v>
      </c>
      <c r="F116" s="3">
        <v>75</v>
      </c>
      <c r="G116" s="2">
        <v>0</v>
      </c>
      <c r="H116" s="14">
        <v>0</v>
      </c>
      <c r="I116" s="14">
        <f>'Omzet&amp;Prijs'!$C$26/SUM('Omzet&amp;Prijs'!$C$25:$C$30)*$Q116</f>
        <v>21.982514458177089</v>
      </c>
      <c r="J116" s="14">
        <f>'Omzet&amp;Prijs'!$C$27/SUM('Omzet&amp;Prijs'!$C$25:$C$30)*$Q116</f>
        <v>10.125231578752302</v>
      </c>
      <c r="K116" s="14">
        <v>0</v>
      </c>
      <c r="L116" s="14">
        <f>'Omzet&amp;Prijs'!$C$28/SUM('Omzet&amp;Prijs'!$C$25:$C$30)*$Q116</f>
        <v>17.384464803285152</v>
      </c>
      <c r="M116" s="14">
        <v>0</v>
      </c>
      <c r="N116" s="14">
        <f>'Omzet&amp;Prijs'!$C$30/SUM('Omzet&amp;Prijs'!$C$25:$C$30)*$Q116</f>
        <v>9.0753703381863655</v>
      </c>
      <c r="O116" s="14">
        <f>'Omzet&amp;Prijs'!$C$29/SUM('Omzet&amp;Prijs'!$C$25:$C$30)*$Q116</f>
        <v>12.821349169421739</v>
      </c>
      <c r="P116" s="14">
        <f>'Omzet&amp;Prijs'!$C$25/SUM('Omzet&amp;Prijs'!$C$25:$C$30)*$Q116</f>
        <v>3.6110696521773535</v>
      </c>
      <c r="Q116" s="3">
        <f t="shared" si="1"/>
        <v>75</v>
      </c>
    </row>
    <row r="117" spans="1:17">
      <c r="A117" t="s">
        <v>132</v>
      </c>
      <c r="B117" t="s">
        <v>132</v>
      </c>
      <c r="C117" t="s">
        <v>165</v>
      </c>
      <c r="D117" t="s">
        <v>165</v>
      </c>
      <c r="E117">
        <v>2013</v>
      </c>
      <c r="F117" s="3">
        <v>150</v>
      </c>
      <c r="G117" s="2">
        <v>0</v>
      </c>
      <c r="H117" s="14">
        <v>0</v>
      </c>
      <c r="I117" s="14">
        <f>'Omzet&amp;Prijs'!$C$26/SUM('Omzet&amp;Prijs'!$C$25:$C$30)*$Q117</f>
        <v>43.965028916354179</v>
      </c>
      <c r="J117" s="14">
        <f>'Omzet&amp;Prijs'!$C$27/SUM('Omzet&amp;Prijs'!$C$25:$C$30)*$Q117</f>
        <v>20.250463157504605</v>
      </c>
      <c r="K117" s="14">
        <v>0</v>
      </c>
      <c r="L117" s="14">
        <f>'Omzet&amp;Prijs'!$C$28/SUM('Omzet&amp;Prijs'!$C$25:$C$30)*$Q117</f>
        <v>34.768929606570303</v>
      </c>
      <c r="M117" s="14">
        <v>0</v>
      </c>
      <c r="N117" s="14">
        <f>'Omzet&amp;Prijs'!$C$30/SUM('Omzet&amp;Prijs'!$C$25:$C$30)*$Q117</f>
        <v>18.150740676372731</v>
      </c>
      <c r="O117" s="14">
        <f>'Omzet&amp;Prijs'!$C$29/SUM('Omzet&amp;Prijs'!$C$25:$C$30)*$Q117</f>
        <v>25.642698338843477</v>
      </c>
      <c r="P117" s="14">
        <f>'Omzet&amp;Prijs'!$C$25/SUM('Omzet&amp;Prijs'!$C$25:$C$30)*$Q117</f>
        <v>7.2221393043547071</v>
      </c>
      <c r="Q117" s="3">
        <f t="shared" si="1"/>
        <v>150</v>
      </c>
    </row>
    <row r="118" spans="1:17" hidden="1">
      <c r="A118" t="s">
        <v>132</v>
      </c>
      <c r="B118" t="s">
        <v>122</v>
      </c>
      <c r="C118" t="s">
        <v>166</v>
      </c>
      <c r="D118" t="s">
        <v>166</v>
      </c>
      <c r="E118">
        <v>2013</v>
      </c>
      <c r="F118" s="3">
        <f>341.75+291.81+246.23+-10040.47</f>
        <v>-9160.68</v>
      </c>
      <c r="G118"/>
      <c r="H118"/>
      <c r="I118"/>
      <c r="J118"/>
      <c r="K118"/>
      <c r="L118"/>
      <c r="M118"/>
      <c r="N118"/>
      <c r="O118"/>
      <c r="P118"/>
      <c r="Q118" s="3">
        <f t="shared" si="1"/>
        <v>9160.68</v>
      </c>
    </row>
    <row r="119" spans="1:17">
      <c r="A119" t="s">
        <v>132</v>
      </c>
      <c r="B119" t="s">
        <v>132</v>
      </c>
      <c r="C119" t="s">
        <v>168</v>
      </c>
      <c r="D119" t="s">
        <v>169</v>
      </c>
      <c r="E119">
        <v>2013</v>
      </c>
      <c r="F119" s="3">
        <v>6490.9</v>
      </c>
      <c r="G119" s="2">
        <v>0</v>
      </c>
      <c r="H119" s="14">
        <v>0</v>
      </c>
      <c r="I119" s="14">
        <f>'Omzet&amp;Prijs'!$C$26/SUM('Omzet&amp;Prijs'!$C$25:$C$30)*$Q119</f>
        <v>1902.4840412877556</v>
      </c>
      <c r="J119" s="14">
        <f>'Omzet&amp;Prijs'!$C$27/SUM('Omzet&amp;Prijs'!$C$25:$C$30)*$Q119</f>
        <v>876.2915420603108</v>
      </c>
      <c r="K119" s="14">
        <v>0</v>
      </c>
      <c r="L119" s="14">
        <f>'Omzet&amp;Prijs'!$C$28/SUM('Omzet&amp;Prijs'!$C$25:$C$30)*$Q119</f>
        <v>1504.5443012219143</v>
      </c>
      <c r="M119" s="14">
        <v>0</v>
      </c>
      <c r="N119" s="14">
        <f>'Omzet&amp;Prijs'!$C$30/SUM('Omzet&amp;Prijs'!$C$25:$C$30)*$Q119</f>
        <v>785.43095104178497</v>
      </c>
      <c r="O119" s="14">
        <f>'Omzet&amp;Prijs'!$C$29/SUM('Omzet&amp;Prijs'!$C$25:$C$30)*$Q119</f>
        <v>1109.6279376506607</v>
      </c>
      <c r="P119" s="14">
        <f>'Omzet&amp;Prijs'!$C$25/SUM('Omzet&amp;Prijs'!$C$25:$C$30)*$Q119</f>
        <v>312.5212267375731</v>
      </c>
      <c r="Q119" s="3">
        <f t="shared" si="1"/>
        <v>6490.9</v>
      </c>
    </row>
    <row r="120" spans="1:17">
      <c r="A120" t="s">
        <v>132</v>
      </c>
      <c r="B120" t="s">
        <v>132</v>
      </c>
      <c r="C120" t="s">
        <v>156</v>
      </c>
      <c r="D120" t="s">
        <v>170</v>
      </c>
      <c r="E120">
        <v>2013</v>
      </c>
      <c r="F120" s="3">
        <v>100</v>
      </c>
      <c r="G120" s="2">
        <v>0</v>
      </c>
      <c r="H120" s="14">
        <v>0</v>
      </c>
      <c r="I120" s="14">
        <f>'Omzet&amp;Prijs'!$C$26/SUM('Omzet&amp;Prijs'!$C$25:$C$30)*$Q120</f>
        <v>29.310019277569456</v>
      </c>
      <c r="J120" s="14">
        <f>'Omzet&amp;Prijs'!$C$27/SUM('Omzet&amp;Prijs'!$C$25:$C$30)*$Q120</f>
        <v>13.500308771669737</v>
      </c>
      <c r="K120" s="14">
        <v>0</v>
      </c>
      <c r="L120" s="14">
        <f>'Omzet&amp;Prijs'!$C$28/SUM('Omzet&amp;Prijs'!$C$25:$C$30)*$Q120</f>
        <v>23.1792864043802</v>
      </c>
      <c r="M120" s="14">
        <v>0</v>
      </c>
      <c r="N120" s="14">
        <f>'Omzet&amp;Prijs'!$C$30/SUM('Omzet&amp;Prijs'!$C$25:$C$30)*$Q120</f>
        <v>12.100493784248487</v>
      </c>
      <c r="O120" s="14">
        <f>'Omzet&amp;Prijs'!$C$29/SUM('Omzet&amp;Prijs'!$C$25:$C$30)*$Q120</f>
        <v>17.09513222589565</v>
      </c>
      <c r="P120" s="14">
        <f>'Omzet&amp;Prijs'!$C$25/SUM('Omzet&amp;Prijs'!$C$25:$C$30)*$Q120</f>
        <v>4.8147595362364717</v>
      </c>
      <c r="Q120" s="3">
        <f t="shared" si="1"/>
        <v>100</v>
      </c>
    </row>
    <row r="121" spans="1:17" ht="14.45" thickBot="1">
      <c r="A121" s="11" t="s">
        <v>132</v>
      </c>
      <c r="B121" s="11" t="s">
        <v>132</v>
      </c>
      <c r="C121" s="11" t="s">
        <v>171</v>
      </c>
      <c r="D121" s="11" t="s">
        <v>172</v>
      </c>
      <c r="E121" s="11">
        <v>2013</v>
      </c>
      <c r="F121" s="12">
        <v>918.75</v>
      </c>
      <c r="G121" s="13">
        <v>0</v>
      </c>
      <c r="H121" s="15">
        <v>0</v>
      </c>
      <c r="I121" s="15">
        <f>'Omzet&amp;Prijs'!$C$26/SUM('Omzet&amp;Prijs'!$C$25:$C$30)*$Q121</f>
        <v>269.28580211266939</v>
      </c>
      <c r="J121" s="15">
        <f>'Omzet&amp;Prijs'!$C$27/SUM('Omzet&amp;Prijs'!$C$25:$C$30)*$Q121</f>
        <v>124.0340868397157</v>
      </c>
      <c r="K121" s="15">
        <v>0</v>
      </c>
      <c r="L121" s="15">
        <f>'Omzet&amp;Prijs'!$C$28/SUM('Omzet&amp;Prijs'!$C$25:$C$30)*$Q121</f>
        <v>212.95969384024309</v>
      </c>
      <c r="M121" s="15">
        <v>0</v>
      </c>
      <c r="N121" s="15">
        <f>'Omzet&amp;Prijs'!$C$30/SUM('Omzet&amp;Prijs'!$C$25:$C$30)*$Q121</f>
        <v>111.17328664278297</v>
      </c>
      <c r="O121" s="15">
        <f>'Omzet&amp;Prijs'!$C$29/SUM('Omzet&amp;Prijs'!$C$25:$C$30)*$Q121</f>
        <v>157.06152732541631</v>
      </c>
      <c r="P121" s="15">
        <f>'Omzet&amp;Prijs'!$C$25/SUM('Omzet&amp;Prijs'!$C$25:$C$30)*$Q121</f>
        <v>44.235603239172583</v>
      </c>
      <c r="Q121" s="12">
        <f t="shared" si="1"/>
        <v>918.75</v>
      </c>
    </row>
    <row r="122" spans="1:17" hidden="1">
      <c r="A122" t="s">
        <v>118</v>
      </c>
      <c r="B122" t="s">
        <v>122</v>
      </c>
      <c r="C122" t="s">
        <v>154</v>
      </c>
      <c r="D122" t="s">
        <v>173</v>
      </c>
      <c r="E122">
        <v>2013</v>
      </c>
      <c r="F122" s="3">
        <v>241.65</v>
      </c>
      <c r="G122"/>
      <c r="H122"/>
      <c r="I122"/>
      <c r="J122"/>
      <c r="K122"/>
      <c r="L122"/>
      <c r="M122"/>
      <c r="N122"/>
      <c r="O122"/>
      <c r="P122"/>
      <c r="Q122" s="3">
        <f t="shared" si="1"/>
        <v>241.65</v>
      </c>
    </row>
    <row r="123" spans="1:17" hidden="1">
      <c r="A123" t="s">
        <v>132</v>
      </c>
      <c r="B123" t="s">
        <v>122</v>
      </c>
      <c r="C123" t="s">
        <v>174</v>
      </c>
      <c r="D123" t="s">
        <v>175</v>
      </c>
      <c r="E123">
        <v>2013</v>
      </c>
      <c r="F123" s="3">
        <v>15187.5</v>
      </c>
      <c r="G123"/>
      <c r="H123"/>
      <c r="I123"/>
      <c r="J123"/>
      <c r="K123"/>
      <c r="L123"/>
      <c r="M123"/>
      <c r="N123"/>
      <c r="O123"/>
      <c r="P123"/>
      <c r="Q123" s="3">
        <f t="shared" si="1"/>
        <v>15187.5</v>
      </c>
    </row>
    <row r="124" spans="1:17" hidden="1">
      <c r="A124" t="s">
        <v>118</v>
      </c>
      <c r="B124" t="s">
        <v>119</v>
      </c>
      <c r="C124" t="s">
        <v>120</v>
      </c>
      <c r="D124" t="s">
        <v>121</v>
      </c>
      <c r="E124">
        <v>2014</v>
      </c>
      <c r="F124" s="3">
        <v>-208015.66</v>
      </c>
      <c r="G124"/>
      <c r="H124"/>
      <c r="I124"/>
      <c r="J124"/>
      <c r="K124"/>
      <c r="L124"/>
      <c r="M124"/>
      <c r="N124"/>
      <c r="O124"/>
      <c r="P124"/>
      <c r="Q124" s="3">
        <f t="shared" si="1"/>
        <v>208015.66</v>
      </c>
    </row>
    <row r="125" spans="1:17" hidden="1">
      <c r="A125" t="s">
        <v>118</v>
      </c>
      <c r="B125" t="s">
        <v>122</v>
      </c>
      <c r="C125" t="s">
        <v>123</v>
      </c>
      <c r="D125" t="s">
        <v>124</v>
      </c>
      <c r="E125">
        <v>2014</v>
      </c>
      <c r="F125" s="3">
        <v>-8196.5400000000009</v>
      </c>
      <c r="G125"/>
      <c r="H125"/>
      <c r="I125"/>
      <c r="J125"/>
      <c r="K125"/>
      <c r="L125"/>
      <c r="M125"/>
      <c r="N125"/>
      <c r="O125"/>
      <c r="P125"/>
      <c r="Q125" s="3">
        <f t="shared" si="1"/>
        <v>8196.5400000000009</v>
      </c>
    </row>
    <row r="126" spans="1:17" hidden="1">
      <c r="A126" t="s">
        <v>118</v>
      </c>
      <c r="B126" t="s">
        <v>122</v>
      </c>
      <c r="C126" t="s">
        <v>123</v>
      </c>
      <c r="D126" t="s">
        <v>125</v>
      </c>
      <c r="E126">
        <v>2014</v>
      </c>
      <c r="F126" s="3">
        <v>-79530.66</v>
      </c>
      <c r="G126"/>
      <c r="H126"/>
      <c r="I126"/>
      <c r="J126"/>
      <c r="K126"/>
      <c r="L126"/>
      <c r="M126"/>
      <c r="N126"/>
      <c r="O126"/>
      <c r="P126"/>
      <c r="Q126" s="3">
        <f t="shared" si="1"/>
        <v>79530.66</v>
      </c>
    </row>
    <row r="127" spans="1:17" hidden="1">
      <c r="A127" t="s">
        <v>118</v>
      </c>
      <c r="B127" t="s">
        <v>122</v>
      </c>
      <c r="C127" t="s">
        <v>123</v>
      </c>
      <c r="D127" t="s">
        <v>126</v>
      </c>
      <c r="E127">
        <v>2014</v>
      </c>
      <c r="F127" s="3">
        <v>-4173.28</v>
      </c>
      <c r="G127"/>
      <c r="H127"/>
      <c r="I127"/>
      <c r="J127"/>
      <c r="K127"/>
      <c r="L127"/>
      <c r="M127"/>
      <c r="N127"/>
      <c r="O127"/>
      <c r="P127"/>
      <c r="Q127" s="3">
        <f t="shared" si="1"/>
        <v>4173.28</v>
      </c>
    </row>
    <row r="128" spans="1:17" hidden="1">
      <c r="A128" t="s">
        <v>118</v>
      </c>
      <c r="B128" t="s">
        <v>122</v>
      </c>
      <c r="C128" t="s">
        <v>127</v>
      </c>
      <c r="D128" t="s">
        <v>128</v>
      </c>
      <c r="E128">
        <v>2014</v>
      </c>
      <c r="F128" s="3">
        <v>-1226.1300000000001</v>
      </c>
      <c r="G128"/>
      <c r="H128"/>
      <c r="I128"/>
      <c r="J128"/>
      <c r="K128"/>
      <c r="L128"/>
      <c r="M128"/>
      <c r="N128"/>
      <c r="O128"/>
      <c r="P128"/>
      <c r="Q128" s="3">
        <f t="shared" si="1"/>
        <v>1226.1300000000001</v>
      </c>
    </row>
    <row r="129" spans="1:17" hidden="1">
      <c r="A129" t="s">
        <v>118</v>
      </c>
      <c r="B129" t="s">
        <v>122</v>
      </c>
      <c r="C129" t="s">
        <v>129</v>
      </c>
      <c r="D129" t="s">
        <v>130</v>
      </c>
      <c r="E129">
        <v>2014</v>
      </c>
      <c r="F129" s="3">
        <v>-1603.91</v>
      </c>
      <c r="G129"/>
      <c r="H129"/>
      <c r="I129"/>
      <c r="J129"/>
      <c r="K129"/>
      <c r="L129"/>
      <c r="M129"/>
      <c r="N129"/>
      <c r="O129"/>
      <c r="P129"/>
      <c r="Q129" s="3">
        <f t="shared" si="1"/>
        <v>1603.91</v>
      </c>
    </row>
    <row r="130" spans="1:17" hidden="1">
      <c r="A130" t="s">
        <v>118</v>
      </c>
      <c r="B130" t="s">
        <v>122</v>
      </c>
      <c r="C130" t="s">
        <v>129</v>
      </c>
      <c r="D130" t="s">
        <v>131</v>
      </c>
      <c r="E130">
        <v>2014</v>
      </c>
      <c r="F130" s="3">
        <v>-2368.14</v>
      </c>
      <c r="G130"/>
      <c r="H130"/>
      <c r="I130"/>
      <c r="J130"/>
      <c r="K130"/>
      <c r="L130"/>
      <c r="M130"/>
      <c r="N130"/>
      <c r="O130"/>
      <c r="P130"/>
      <c r="Q130" s="3">
        <f t="shared" ref="Q130:Q193" si="2">IF(F130&lt;0,F130*-1,F130)</f>
        <v>2368.14</v>
      </c>
    </row>
    <row r="131" spans="1:17">
      <c r="A131" t="s">
        <v>118</v>
      </c>
      <c r="B131" t="s">
        <v>132</v>
      </c>
      <c r="C131" t="s">
        <v>133</v>
      </c>
      <c r="D131" t="s">
        <v>133</v>
      </c>
      <c r="E131">
        <v>2014</v>
      </c>
      <c r="F131" s="3">
        <v>1742.49</v>
      </c>
      <c r="G131" s="14">
        <f>'Omzet&amp;Prijs'!$C$35/SUM('Omzet&amp;Prijs'!$C$31:$C$38)*$Q131</f>
        <v>1.259670763739563</v>
      </c>
      <c r="H131" s="14">
        <f>'Omzet&amp;Prijs'!$C$38/SUM('Omzet&amp;Prijs'!$C$31:$C$38)*$Q131</f>
        <v>7.7158487616530076</v>
      </c>
      <c r="I131" s="14">
        <f>'Omzet&amp;Prijs'!$C$33/SUM('Omzet&amp;Prijs'!$C$31:$C$38)*$Q131</f>
        <v>431.26626038665006</v>
      </c>
      <c r="J131" s="14">
        <f>'Omzet&amp;Prijs'!$C$34/SUM('Omzet&amp;Prijs'!$C$31:$C$38)*$Q131</f>
        <v>225.68565360836502</v>
      </c>
      <c r="K131" s="14">
        <v>0</v>
      </c>
      <c r="L131" s="14">
        <f>'Omzet&amp;Prijs'!$C$36/SUM('Omzet&amp;Prijs'!$C$31:$C$38)*$Q131</f>
        <v>38.327894189514218</v>
      </c>
      <c r="M131" s="14">
        <v>0</v>
      </c>
      <c r="N131" s="14">
        <f>'Omzet&amp;Prijs'!$C$32/SUM('Omzet&amp;Prijs'!$C$31:$C$38)*$Q131</f>
        <v>217.24644402530703</v>
      </c>
      <c r="O131" s="14">
        <f>'Omzet&amp;Prijs'!$C$37/SUM('Omzet&amp;Prijs'!$C$31:$C$38)*$Q131</f>
        <v>724.1061022512655</v>
      </c>
      <c r="P131" s="14">
        <f>'Omzet&amp;Prijs'!$C$31/SUM('Omzet&amp;Prijs'!$C$31:$C$38)*$Q131</f>
        <v>96.882126013505584</v>
      </c>
      <c r="Q131" s="3">
        <f t="shared" si="2"/>
        <v>1742.49</v>
      </c>
    </row>
    <row r="132" spans="1:17">
      <c r="A132" t="s">
        <v>118</v>
      </c>
      <c r="B132" t="s">
        <v>132</v>
      </c>
      <c r="C132" t="s">
        <v>134</v>
      </c>
      <c r="D132" t="s">
        <v>135</v>
      </c>
      <c r="E132">
        <v>2014</v>
      </c>
      <c r="F132" s="3">
        <f>4537.89+4104.1</f>
        <v>8641.9900000000016</v>
      </c>
      <c r="G132" s="14">
        <f>'Omzet&amp;Prijs'!$C$35/SUM('Omzet&amp;Prijs'!$C$31:$C$38)*$Q132</f>
        <v>6.2474172841908242</v>
      </c>
      <c r="H132" s="14">
        <f>'Omzet&amp;Prijs'!$C$38/SUM('Omzet&amp;Prijs'!$C$31:$C$38)*$Q132</f>
        <v>38.267242761632886</v>
      </c>
      <c r="I132" s="14">
        <f>'Omzet&amp;Prijs'!$C$33/SUM('Omzet&amp;Prijs'!$C$31:$C$38)*$Q132</f>
        <v>2138.8924525241619</v>
      </c>
      <c r="J132" s="14">
        <f>'Omzet&amp;Prijs'!$C$34/SUM('Omzet&amp;Prijs'!$C$31:$C$38)*$Q132</f>
        <v>1119.3023556100493</v>
      </c>
      <c r="K132" s="14">
        <v>0</v>
      </c>
      <c r="L132" s="14">
        <f>'Omzet&amp;Prijs'!$C$36/SUM('Omzet&amp;Prijs'!$C$31:$C$38)*$Q132</f>
        <v>190.0896293848688</v>
      </c>
      <c r="M132" s="14">
        <v>0</v>
      </c>
      <c r="N132" s="14">
        <f>'Omzet&amp;Prijs'!$C$32/SUM('Omzet&amp;Prijs'!$C$31:$C$38)*$Q132</f>
        <v>1077.4475588395132</v>
      </c>
      <c r="O132" s="14">
        <f>'Omzet&amp;Prijs'!$C$37/SUM('Omzet&amp;Prijs'!$C$31:$C$38)*$Q132</f>
        <v>3591.2502766698321</v>
      </c>
      <c r="P132" s="14">
        <f>'Omzet&amp;Prijs'!$C$31/SUM('Omzet&amp;Prijs'!$C$31:$C$38)*$Q132</f>
        <v>480.49306692575294</v>
      </c>
      <c r="Q132" s="3">
        <f t="shared" si="2"/>
        <v>8641.9900000000016</v>
      </c>
    </row>
    <row r="133" spans="1:17">
      <c r="A133" t="s">
        <v>118</v>
      </c>
      <c r="B133" t="s">
        <v>132</v>
      </c>
      <c r="C133" t="s">
        <v>136</v>
      </c>
      <c r="D133" t="s">
        <v>137</v>
      </c>
      <c r="E133">
        <v>2014</v>
      </c>
      <c r="F133" s="3">
        <v>891.99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f>Q133</f>
        <v>891.99</v>
      </c>
      <c r="O133" s="2">
        <v>0</v>
      </c>
      <c r="P133" s="2">
        <v>0</v>
      </c>
      <c r="Q133" s="3">
        <f t="shared" si="2"/>
        <v>891.99</v>
      </c>
    </row>
    <row r="134" spans="1:17">
      <c r="A134" t="s">
        <v>118</v>
      </c>
      <c r="B134" t="s">
        <v>132</v>
      </c>
      <c r="C134" t="s">
        <v>138</v>
      </c>
      <c r="D134" t="s">
        <v>139</v>
      </c>
      <c r="E134">
        <v>2014</v>
      </c>
      <c r="F134" s="3">
        <v>2044.26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f>Q134</f>
        <v>2044.26</v>
      </c>
      <c r="O134" s="2">
        <v>0</v>
      </c>
      <c r="P134" s="2">
        <v>0</v>
      </c>
      <c r="Q134" s="3">
        <f t="shared" si="2"/>
        <v>2044.26</v>
      </c>
    </row>
    <row r="135" spans="1:17">
      <c r="A135" t="s">
        <v>118</v>
      </c>
      <c r="B135" t="s">
        <v>132</v>
      </c>
      <c r="C135" t="s">
        <v>140</v>
      </c>
      <c r="D135" t="s">
        <v>141</v>
      </c>
      <c r="E135">
        <v>2014</v>
      </c>
      <c r="F135" s="3">
        <v>1672.6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f>Q135</f>
        <v>1672.6</v>
      </c>
      <c r="O135" s="2">
        <v>0</v>
      </c>
      <c r="P135" s="2">
        <v>0</v>
      </c>
      <c r="Q135" s="3">
        <f t="shared" si="2"/>
        <v>1672.6</v>
      </c>
    </row>
    <row r="136" spans="1:17" hidden="1">
      <c r="A136" t="s">
        <v>123</v>
      </c>
      <c r="B136" t="s">
        <v>122</v>
      </c>
      <c r="C136" t="s">
        <v>123</v>
      </c>
      <c r="D136" t="s">
        <v>142</v>
      </c>
      <c r="E136">
        <v>2014</v>
      </c>
      <c r="F136" s="3">
        <f>-315.8+10241.22+86594.91+6194.43+3205.44+103.32+-32.25</f>
        <v>105991.27000000002</v>
      </c>
      <c r="G136"/>
      <c r="H136"/>
      <c r="I136"/>
      <c r="J136"/>
      <c r="K136"/>
      <c r="L136"/>
      <c r="M136"/>
      <c r="N136"/>
      <c r="O136"/>
      <c r="P136"/>
      <c r="Q136" s="3">
        <f t="shared" si="2"/>
        <v>105991.27000000002</v>
      </c>
    </row>
    <row r="137" spans="1:17" hidden="1">
      <c r="A137" t="s">
        <v>132</v>
      </c>
      <c r="B137" t="s">
        <v>122</v>
      </c>
      <c r="C137" t="s">
        <v>143</v>
      </c>
      <c r="D137" t="s">
        <v>143</v>
      </c>
      <c r="E137">
        <v>2014</v>
      </c>
      <c r="F137" s="3">
        <v>31575</v>
      </c>
      <c r="G137"/>
      <c r="H137"/>
      <c r="I137"/>
      <c r="J137"/>
      <c r="K137"/>
      <c r="L137"/>
      <c r="M137"/>
      <c r="N137"/>
      <c r="O137"/>
      <c r="P137"/>
      <c r="Q137" s="3">
        <f t="shared" si="2"/>
        <v>31575</v>
      </c>
    </row>
    <row r="138" spans="1:17">
      <c r="A138" t="s">
        <v>132</v>
      </c>
      <c r="B138" t="s">
        <v>132</v>
      </c>
      <c r="C138" t="s">
        <v>144</v>
      </c>
      <c r="D138" t="s">
        <v>145</v>
      </c>
      <c r="E138">
        <v>2014</v>
      </c>
      <c r="F138" s="3">
        <v>18.16</v>
      </c>
      <c r="G138" s="14">
        <f>'Omzet&amp;Prijs'!$C$35/SUM('Omzet&amp;Prijs'!$C$31:$C$38)*$Q138</f>
        <v>1.3128121865554733E-2</v>
      </c>
      <c r="H138" s="14">
        <f>'Omzet&amp;Prijs'!$C$38/SUM('Omzet&amp;Prijs'!$C$31:$C$38)*$Q138</f>
        <v>8.0413553886460543E-2</v>
      </c>
      <c r="I138" s="14">
        <f>'Omzet&amp;Prijs'!$C$33/SUM('Omzet&amp;Prijs'!$C$31:$C$38)*$Q138</f>
        <v>4.4945998477016023</v>
      </c>
      <c r="J138" s="14">
        <f>'Omzet&amp;Prijs'!$C$34/SUM('Omzet&amp;Prijs'!$C$31:$C$38)*$Q138</f>
        <v>2.3520659914994684</v>
      </c>
      <c r="K138" s="14">
        <v>0</v>
      </c>
      <c r="L138" s="14">
        <f>'Omzet&amp;Prijs'!$C$36/SUM('Omzet&amp;Prijs'!$C$31:$C$38)*$Q138</f>
        <v>0.39944823699509224</v>
      </c>
      <c r="M138" s="14">
        <v>0</v>
      </c>
      <c r="N138" s="14">
        <f>'Omzet&amp;Prijs'!$C$32/SUM('Omzet&amp;Prijs'!$C$31:$C$38)*$Q138</f>
        <v>2.2641136669361521</v>
      </c>
      <c r="O138" s="14">
        <f>'Omzet&amp;Prijs'!$C$37/SUM('Omzet&amp;Prijs'!$C$31:$C$38)*$Q138</f>
        <v>7.5465378951288002</v>
      </c>
      <c r="P138" s="14">
        <f>'Omzet&amp;Prijs'!$C$31/SUM('Omzet&amp;Prijs'!$C$31:$C$38)*$Q138</f>
        <v>1.0096926859868702</v>
      </c>
      <c r="Q138" s="3">
        <f t="shared" si="2"/>
        <v>18.16</v>
      </c>
    </row>
    <row r="139" spans="1:17">
      <c r="A139" t="s">
        <v>132</v>
      </c>
      <c r="B139" t="s">
        <v>132</v>
      </c>
      <c r="C139" t="s">
        <v>144</v>
      </c>
      <c r="D139" t="s">
        <v>146</v>
      </c>
      <c r="E139">
        <v>2014</v>
      </c>
      <c r="F139" s="3">
        <v>55.37</v>
      </c>
      <c r="G139" s="14">
        <f>'Omzet&amp;Prijs'!$C$35/SUM('Omzet&amp;Prijs'!$C$31:$C$38)*$Q139</f>
        <v>4.0027759234348322E-2</v>
      </c>
      <c r="H139" s="14">
        <f>'Omzet&amp;Prijs'!$C$38/SUM('Omzet&amp;Prijs'!$C$31:$C$38)*$Q139</f>
        <v>0.24518163428927972</v>
      </c>
      <c r="I139" s="14">
        <f>'Omzet&amp;Prijs'!$C$33/SUM('Omzet&amp;Prijs'!$C$31:$C$38)*$Q139</f>
        <v>13.704074535640844</v>
      </c>
      <c r="J139" s="14">
        <f>'Omzet&amp;Prijs'!$C$34/SUM('Omzet&amp;Prijs'!$C$31:$C$38)*$Q139</f>
        <v>7.1714699311302619</v>
      </c>
      <c r="K139" s="14">
        <v>0</v>
      </c>
      <c r="L139" s="14">
        <f>'Omzet&amp;Prijs'!$C$36/SUM('Omzet&amp;Prijs'!$C$31:$C$38)*$Q139</f>
        <v>1.217921193965763</v>
      </c>
      <c r="M139" s="14">
        <v>0</v>
      </c>
      <c r="N139" s="14">
        <f>'Omzet&amp;Prijs'!$C$32/SUM('Omzet&amp;Prijs'!$C$31:$C$38)*$Q139</f>
        <v>6.9033025186263623</v>
      </c>
      <c r="O139" s="14">
        <f>'Omzet&amp;Prijs'!$C$37/SUM('Omzet&amp;Prijs'!$C$31:$C$38)*$Q139</f>
        <v>23.009460531568372</v>
      </c>
      <c r="P139" s="14">
        <f>'Omzet&amp;Prijs'!$C$31/SUM('Omzet&amp;Prijs'!$C$31:$C$38)*$Q139</f>
        <v>3.0785618955447687</v>
      </c>
      <c r="Q139" s="3">
        <f t="shared" si="2"/>
        <v>55.37</v>
      </c>
    </row>
    <row r="140" spans="1:17">
      <c r="A140" t="s">
        <v>132</v>
      </c>
      <c r="B140" t="s">
        <v>132</v>
      </c>
      <c r="C140" t="s">
        <v>147</v>
      </c>
      <c r="D140" t="s">
        <v>148</v>
      </c>
      <c r="E140">
        <v>2014</v>
      </c>
      <c r="F140" s="3">
        <v>0</v>
      </c>
      <c r="G140" s="14">
        <f>'Omzet&amp;Prijs'!$C$35/SUM('Omzet&amp;Prijs'!$C$31:$C$38)*$Q140</f>
        <v>0</v>
      </c>
      <c r="H140" s="14">
        <f>'Omzet&amp;Prijs'!$C$38/SUM('Omzet&amp;Prijs'!$C$31:$C$38)*$Q140</f>
        <v>0</v>
      </c>
      <c r="I140" s="14">
        <f>'Omzet&amp;Prijs'!$C$33/SUM('Omzet&amp;Prijs'!$C$31:$C$38)*$Q140</f>
        <v>0</v>
      </c>
      <c r="J140" s="14">
        <f>'Omzet&amp;Prijs'!$C$34/SUM('Omzet&amp;Prijs'!$C$31:$C$38)*$Q140</f>
        <v>0</v>
      </c>
      <c r="K140" s="14">
        <v>0</v>
      </c>
      <c r="L140" s="14">
        <f>'Omzet&amp;Prijs'!$C$36/SUM('Omzet&amp;Prijs'!$C$31:$C$38)*$Q140</f>
        <v>0</v>
      </c>
      <c r="M140" s="14">
        <v>0</v>
      </c>
      <c r="N140" s="14">
        <f>'Omzet&amp;Prijs'!$C$32/SUM('Omzet&amp;Prijs'!$C$31:$C$38)*$Q140</f>
        <v>0</v>
      </c>
      <c r="O140" s="14">
        <f>'Omzet&amp;Prijs'!$C$37/SUM('Omzet&amp;Prijs'!$C$31:$C$38)*$Q140</f>
        <v>0</v>
      </c>
      <c r="P140" s="14">
        <f>'Omzet&amp;Prijs'!$C$31/SUM('Omzet&amp;Prijs'!$C$31:$C$38)*$Q140</f>
        <v>0</v>
      </c>
      <c r="Q140" s="3">
        <f t="shared" si="2"/>
        <v>0</v>
      </c>
    </row>
    <row r="141" spans="1:17">
      <c r="A141" t="s">
        <v>132</v>
      </c>
      <c r="B141" t="s">
        <v>132</v>
      </c>
      <c r="C141" t="s">
        <v>149</v>
      </c>
      <c r="D141" t="s">
        <v>150</v>
      </c>
      <c r="E141">
        <v>2014</v>
      </c>
      <c r="F141" s="3">
        <v>8214.2099999999991</v>
      </c>
      <c r="G141" s="14">
        <f>'Omzet&amp;Prijs'!$C$35/SUM('Omzet&amp;Prijs'!$C$31:$C$38)*$Q141</f>
        <v>5.9381690478666478</v>
      </c>
      <c r="H141" s="14">
        <f>'Omzet&amp;Prijs'!$C$38/SUM('Omzet&amp;Prijs'!$C$31:$C$38)*$Q141</f>
        <v>36.373007624983643</v>
      </c>
      <c r="I141" s="14">
        <f>'Omzet&amp;Prijs'!$C$33/SUM('Omzet&amp;Prijs'!$C$31:$C$38)*$Q141</f>
        <v>2033.0169061117278</v>
      </c>
      <c r="J141" s="14">
        <f>'Omzet&amp;Prijs'!$C$34/SUM('Omzet&amp;Prijs'!$C$31:$C$38)*$Q141</f>
        <v>1063.8966953763681</v>
      </c>
      <c r="K141" s="14">
        <v>0</v>
      </c>
      <c r="L141" s="14">
        <f>'Omzet&amp;Prijs'!$C$36/SUM('Omzet&amp;Prijs'!$C$31:$C$38)*$Q141</f>
        <v>180.68015984622556</v>
      </c>
      <c r="M141" s="14">
        <v>0</v>
      </c>
      <c r="N141" s="14">
        <f>'Omzet&amp;Prijs'!$C$32/SUM('Omzet&amp;Prijs'!$C$31:$C$38)*$Q141</f>
        <v>1024.1137182865423</v>
      </c>
      <c r="O141" s="14">
        <f>'Omzet&amp;Prijs'!$C$37/SUM('Omzet&amp;Prijs'!$C$31:$C$38)*$Q141</f>
        <v>3413.4827667150844</v>
      </c>
      <c r="P141" s="14">
        <f>'Omzet&amp;Prijs'!$C$31/SUM('Omzet&amp;Prijs'!$C$31:$C$38)*$Q141</f>
        <v>456.70857699120091</v>
      </c>
      <c r="Q141" s="3">
        <f t="shared" si="2"/>
        <v>8214.2099999999991</v>
      </c>
    </row>
    <row r="142" spans="1:17">
      <c r="A142" t="s">
        <v>132</v>
      </c>
      <c r="B142" t="s">
        <v>132</v>
      </c>
      <c r="C142" t="s">
        <v>123</v>
      </c>
      <c r="D142" t="s">
        <v>151</v>
      </c>
      <c r="E142">
        <v>2014</v>
      </c>
      <c r="F142" s="3">
        <v>0.46</v>
      </c>
      <c r="G142" s="14">
        <f>'Omzet&amp;Prijs'!$C$35/SUM('Omzet&amp;Prijs'!$C$31:$C$38)*$Q142</f>
        <v>3.3254053183673886E-4</v>
      </c>
      <c r="H142" s="14">
        <f>'Omzet&amp;Prijs'!$C$38/SUM('Omzet&amp;Prijs'!$C$31:$C$38)*$Q142</f>
        <v>2.0369072019698156E-3</v>
      </c>
      <c r="I142" s="14">
        <f>'Omzet&amp;Prijs'!$C$33/SUM('Omzet&amp;Prijs'!$C$31:$C$38)*$Q142</f>
        <v>0.11384999614222122</v>
      </c>
      <c r="J142" s="14">
        <f>'Omzet&amp;Prijs'!$C$34/SUM('Omzet&amp;Prijs'!$C$31:$C$38)*$Q142</f>
        <v>5.9578764101858778E-2</v>
      </c>
      <c r="K142" s="14">
        <v>0</v>
      </c>
      <c r="L142" s="14">
        <f>'Omzet&amp;Prijs'!$C$36/SUM('Omzet&amp;Prijs'!$C$31:$C$38)*$Q142</f>
        <v>1.0118182214633394E-2</v>
      </c>
      <c r="M142" s="14">
        <v>0</v>
      </c>
      <c r="N142" s="14">
        <f>'Omzet&amp;Prijs'!$C$32/SUM('Omzet&amp;Prijs'!$C$31:$C$38)*$Q142</f>
        <v>5.7350896849704298E-2</v>
      </c>
      <c r="O142" s="14">
        <f>'Omzet&amp;Prijs'!$C$37/SUM('Omzet&amp;Prijs'!$C$31:$C$38)*$Q142</f>
        <v>0.1911567969030423</v>
      </c>
      <c r="P142" s="14">
        <f>'Omzet&amp;Prijs'!$C$31/SUM('Omzet&amp;Prijs'!$C$31:$C$38)*$Q142</f>
        <v>2.5575916054733496E-2</v>
      </c>
      <c r="Q142" s="3">
        <f t="shared" si="2"/>
        <v>0.46</v>
      </c>
    </row>
    <row r="143" spans="1:17">
      <c r="A143" t="s">
        <v>132</v>
      </c>
      <c r="B143" t="s">
        <v>132</v>
      </c>
      <c r="C143" t="s">
        <v>152</v>
      </c>
      <c r="D143" t="s">
        <v>153</v>
      </c>
      <c r="E143">
        <v>2014</v>
      </c>
      <c r="F143" s="3">
        <v>10709.17</v>
      </c>
      <c r="G143" s="10">
        <f>'Omzet&amp;Prijs'!$C$35/(SUM('Omzet&amp;Prijs'!$C$31:$C$38)-'Omzet&amp;Prijs'!$C$37)*$Q143</f>
        <v>13.246505942148357</v>
      </c>
      <c r="H143" s="10">
        <f>'Omzet&amp;Prijs'!$C$38/(SUM('Omzet&amp;Prijs'!$C$31:$C$38)-'Omzet&amp;Prijs'!$C$37)*$Q143</f>
        <v>81.138690689725436</v>
      </c>
      <c r="I143" s="10">
        <f>'Omzet&amp;Prijs'!$C$33/(SUM('Omzet&amp;Prijs'!$C$31:$C$38)-'Omzet&amp;Prijs'!$C$37)*$Q143</f>
        <v>4535.1303255625735</v>
      </c>
      <c r="J143" s="10">
        <f>'Omzet&amp;Prijs'!$C$34/(SUM('Omzet&amp;Prijs'!$C$31:$C$38)-'Omzet&amp;Prijs'!$C$37)*$Q143</f>
        <v>2373.2759683219351</v>
      </c>
      <c r="K143" s="10">
        <v>0</v>
      </c>
      <c r="L143" s="10">
        <f>'Omzet&amp;Prijs'!$C$36/(SUM('Omzet&amp;Prijs'!$C$31:$C$38)-'Omzet&amp;Prijs'!$C$37)*$Q143</f>
        <v>403.05029913070433</v>
      </c>
      <c r="M143" s="10">
        <v>0</v>
      </c>
      <c r="N143" s="10">
        <f>'Omzet&amp;Prijs'!$C$32/(SUM('Omzet&amp;Prijs'!$C$31:$C$38)-'Omzet&amp;Prijs'!$C$37)*$Q143</f>
        <v>2284.5305253800479</v>
      </c>
      <c r="O143" s="10">
        <v>0</v>
      </c>
      <c r="P143" s="10">
        <f>'Omzet&amp;Prijs'!$C$31/(SUM('Omzet&amp;Prijs'!$C$31:$C$38)-'Omzet&amp;Prijs'!$C$37)*$Q143</f>
        <v>1018.7976849728649</v>
      </c>
      <c r="Q143" s="3">
        <f t="shared" si="2"/>
        <v>10709.17</v>
      </c>
    </row>
    <row r="144" spans="1:17">
      <c r="A144" t="s">
        <v>132</v>
      </c>
      <c r="B144" t="s">
        <v>132</v>
      </c>
      <c r="C144" t="s">
        <v>154</v>
      </c>
      <c r="D144" t="s">
        <v>155</v>
      </c>
      <c r="E144">
        <v>2014</v>
      </c>
      <c r="F144" s="3">
        <v>-6293.9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f>Q144</f>
        <v>6293.9</v>
      </c>
      <c r="O144" s="2">
        <v>0</v>
      </c>
      <c r="P144" s="2">
        <v>0</v>
      </c>
      <c r="Q144" s="3">
        <f t="shared" si="2"/>
        <v>6293.9</v>
      </c>
    </row>
    <row r="145" spans="1:17">
      <c r="A145" t="s">
        <v>132</v>
      </c>
      <c r="B145" t="s">
        <v>132</v>
      </c>
      <c r="C145" t="s">
        <v>156</v>
      </c>
      <c r="D145" t="s">
        <v>157</v>
      </c>
      <c r="E145">
        <v>2014</v>
      </c>
      <c r="F145" s="3">
        <v>0</v>
      </c>
      <c r="G145" s="14">
        <f>'Omzet&amp;Prijs'!$C$35/SUM('Omzet&amp;Prijs'!$C$31:$C$38)*$Q145</f>
        <v>0</v>
      </c>
      <c r="H145" s="14">
        <f>'Omzet&amp;Prijs'!$C$38/SUM('Omzet&amp;Prijs'!$C$31:$C$38)*$Q145</f>
        <v>0</v>
      </c>
      <c r="I145" s="14">
        <f>'Omzet&amp;Prijs'!$C$33/SUM('Omzet&amp;Prijs'!$C$31:$C$38)*$Q145</f>
        <v>0</v>
      </c>
      <c r="J145" s="14">
        <f>'Omzet&amp;Prijs'!$C$34/SUM('Omzet&amp;Prijs'!$C$31:$C$38)*$Q145</f>
        <v>0</v>
      </c>
      <c r="K145" s="14">
        <v>0</v>
      </c>
      <c r="L145" s="14">
        <f>'Omzet&amp;Prijs'!$C$36/SUM('Omzet&amp;Prijs'!$C$31:$C$38)*$Q145</f>
        <v>0</v>
      </c>
      <c r="M145" s="14">
        <v>0</v>
      </c>
      <c r="N145" s="14">
        <f>'Omzet&amp;Prijs'!$C$32/SUM('Omzet&amp;Prijs'!$C$31:$C$38)*$Q145</f>
        <v>0</v>
      </c>
      <c r="O145" s="14">
        <f>'Omzet&amp;Prijs'!$C$37/SUM('Omzet&amp;Prijs'!$C$31:$C$38)*$Q145</f>
        <v>0</v>
      </c>
      <c r="P145" s="14">
        <f>'Omzet&amp;Prijs'!$C$31/SUM('Omzet&amp;Prijs'!$C$31:$C$38)*$Q145</f>
        <v>0</v>
      </c>
      <c r="Q145" s="3">
        <f t="shared" si="2"/>
        <v>0</v>
      </c>
    </row>
    <row r="146" spans="1:17" hidden="1">
      <c r="A146" t="s">
        <v>132</v>
      </c>
      <c r="B146" t="s">
        <v>119</v>
      </c>
      <c r="C146" t="s">
        <v>158</v>
      </c>
      <c r="D146" t="s">
        <v>159</v>
      </c>
      <c r="E146">
        <v>2014</v>
      </c>
      <c r="F146" s="3">
        <v>0</v>
      </c>
      <c r="G146"/>
      <c r="H146"/>
      <c r="I146"/>
      <c r="J146"/>
      <c r="K146"/>
      <c r="L146"/>
      <c r="M146"/>
      <c r="N146"/>
      <c r="O146"/>
      <c r="P146"/>
      <c r="Q146" s="3">
        <f t="shared" si="2"/>
        <v>0</v>
      </c>
    </row>
    <row r="147" spans="1:17">
      <c r="A147" t="s">
        <v>132</v>
      </c>
      <c r="B147" t="s">
        <v>132</v>
      </c>
      <c r="C147" t="s">
        <v>160</v>
      </c>
      <c r="D147" t="s">
        <v>161</v>
      </c>
      <c r="E147">
        <v>2014</v>
      </c>
      <c r="F147" s="3">
        <f>23763.17+2480.06</f>
        <v>26243.23</v>
      </c>
      <c r="G147" s="10">
        <f>'Omzet&amp;Prijs'!$C$35/(SUM('Omzet&amp;Prijs'!$C$31:$C$38)-'Omzet&amp;Prijs'!$C$37)*$Q147</f>
        <v>32.46106861093493</v>
      </c>
      <c r="H147" s="10">
        <f>'Omzet&amp;Prijs'!$C$38/(SUM('Omzet&amp;Prijs'!$C$31:$C$38)-'Omzet&amp;Prijs'!$C$37)*$Q147</f>
        <v>198.83345970503066</v>
      </c>
      <c r="I147" s="10">
        <f>'Omzet&amp;Prijs'!$C$33/(SUM('Omzet&amp;Prijs'!$C$31:$C$38)-'Omzet&amp;Prijs'!$C$37)*$Q147</f>
        <v>11113.510030535841</v>
      </c>
      <c r="J147" s="10">
        <f>'Omzet&amp;Prijs'!$C$34/(SUM('Omzet&amp;Prijs'!$C$31:$C$38)-'Omzet&amp;Prijs'!$C$37)*$Q147</f>
        <v>5815.8033806677131</v>
      </c>
      <c r="K147" s="10">
        <v>0</v>
      </c>
      <c r="L147" s="10">
        <f>'Omzet&amp;Prijs'!$C$36/(SUM('Omzet&amp;Prijs'!$C$31:$C$38)-'Omzet&amp;Prijs'!$C$37)*$Q147</f>
        <v>987.69014794385316</v>
      </c>
      <c r="M147" s="10">
        <v>0</v>
      </c>
      <c r="N147" s="10">
        <f>'Omzet&amp;Prijs'!$C$32/(SUM('Omzet&amp;Prijs'!$C$31:$C$38)-'Omzet&amp;Prijs'!$C$37)*$Q147</f>
        <v>5598.3292841153361</v>
      </c>
      <c r="O147" s="10">
        <v>0</v>
      </c>
      <c r="P147" s="10">
        <f>'Omzet&amp;Prijs'!$C$31/(SUM('Omzet&amp;Prijs'!$C$31:$C$38)-'Omzet&amp;Prijs'!$C$37)*$Q147</f>
        <v>2496.6026284212912</v>
      </c>
      <c r="Q147" s="3">
        <f t="shared" si="2"/>
        <v>26243.23</v>
      </c>
    </row>
    <row r="148" spans="1:17" hidden="1">
      <c r="A148" t="s">
        <v>132</v>
      </c>
      <c r="B148" t="s">
        <v>122</v>
      </c>
      <c r="C148" t="s">
        <v>162</v>
      </c>
      <c r="D148" t="s">
        <v>163</v>
      </c>
      <c r="E148">
        <v>2014</v>
      </c>
      <c r="F148" s="3">
        <v>10.5</v>
      </c>
      <c r="G148"/>
      <c r="H148"/>
      <c r="I148"/>
      <c r="J148"/>
      <c r="K148"/>
      <c r="L148"/>
      <c r="M148"/>
      <c r="N148"/>
      <c r="O148"/>
      <c r="P148"/>
      <c r="Q148" s="3">
        <f t="shared" si="2"/>
        <v>10.5</v>
      </c>
    </row>
    <row r="149" spans="1:17">
      <c r="A149" t="s">
        <v>132</v>
      </c>
      <c r="B149" t="s">
        <v>132</v>
      </c>
      <c r="C149" t="s">
        <v>156</v>
      </c>
      <c r="D149" t="s">
        <v>167</v>
      </c>
      <c r="E149">
        <v>2014</v>
      </c>
      <c r="F149" s="3">
        <v>0</v>
      </c>
      <c r="G149" s="14">
        <f>'Omzet&amp;Prijs'!$C$35/SUM('Omzet&amp;Prijs'!$C$31:$C$38)*$Q149</f>
        <v>0</v>
      </c>
      <c r="H149" s="14">
        <f>'Omzet&amp;Prijs'!$C$38/SUM('Omzet&amp;Prijs'!$C$31:$C$38)*$Q149</f>
        <v>0</v>
      </c>
      <c r="I149" s="14">
        <f>'Omzet&amp;Prijs'!$C$33/SUM('Omzet&amp;Prijs'!$C$31:$C$38)*$Q149</f>
        <v>0</v>
      </c>
      <c r="J149" s="14">
        <f>'Omzet&amp;Prijs'!$C$34/SUM('Omzet&amp;Prijs'!$C$31:$C$38)*$Q149</f>
        <v>0</v>
      </c>
      <c r="K149" s="14">
        <v>0</v>
      </c>
      <c r="L149" s="14">
        <f>'Omzet&amp;Prijs'!$C$36/SUM('Omzet&amp;Prijs'!$C$31:$C$38)*$Q149</f>
        <v>0</v>
      </c>
      <c r="M149" s="14">
        <v>0</v>
      </c>
      <c r="N149" s="14">
        <f>'Omzet&amp;Prijs'!$C$32/SUM('Omzet&amp;Prijs'!$C$31:$C$38)*$Q149</f>
        <v>0</v>
      </c>
      <c r="O149" s="14">
        <f>'Omzet&amp;Prijs'!$C$37/SUM('Omzet&amp;Prijs'!$C$31:$C$38)*$Q149</f>
        <v>0</v>
      </c>
      <c r="P149" s="14">
        <f>'Omzet&amp;Prijs'!$C$31/SUM('Omzet&amp;Prijs'!$C$31:$C$38)*$Q149</f>
        <v>0</v>
      </c>
      <c r="Q149" s="3">
        <f t="shared" si="2"/>
        <v>0</v>
      </c>
    </row>
    <row r="150" spans="1:17">
      <c r="A150" t="s">
        <v>132</v>
      </c>
      <c r="B150" t="s">
        <v>132</v>
      </c>
      <c r="C150" t="s">
        <v>165</v>
      </c>
      <c r="D150" t="s">
        <v>165</v>
      </c>
      <c r="E150">
        <v>2014</v>
      </c>
      <c r="F150" s="3">
        <v>0</v>
      </c>
      <c r="G150" s="14">
        <f>'Omzet&amp;Prijs'!$C$35/SUM('Omzet&amp;Prijs'!$C$31:$C$38)*$Q150</f>
        <v>0</v>
      </c>
      <c r="H150" s="14">
        <f>'Omzet&amp;Prijs'!$C$38/SUM('Omzet&amp;Prijs'!$C$31:$C$38)*$Q150</f>
        <v>0</v>
      </c>
      <c r="I150" s="14">
        <f>'Omzet&amp;Prijs'!$C$33/SUM('Omzet&amp;Prijs'!$C$31:$C$38)*$Q150</f>
        <v>0</v>
      </c>
      <c r="J150" s="14">
        <f>'Omzet&amp;Prijs'!$C$34/SUM('Omzet&amp;Prijs'!$C$31:$C$38)*$Q150</f>
        <v>0</v>
      </c>
      <c r="K150" s="14">
        <v>0</v>
      </c>
      <c r="L150" s="14">
        <f>'Omzet&amp;Prijs'!$C$36/SUM('Omzet&amp;Prijs'!$C$31:$C$38)*$Q150</f>
        <v>0</v>
      </c>
      <c r="M150" s="14">
        <v>0</v>
      </c>
      <c r="N150" s="14">
        <f>'Omzet&amp;Prijs'!$C$32/SUM('Omzet&amp;Prijs'!$C$31:$C$38)*$Q150</f>
        <v>0</v>
      </c>
      <c r="O150" s="14">
        <f>'Omzet&amp;Prijs'!$C$37/SUM('Omzet&amp;Prijs'!$C$31:$C$38)*$Q150</f>
        <v>0</v>
      </c>
      <c r="P150" s="14">
        <f>'Omzet&amp;Prijs'!$C$31/SUM('Omzet&amp;Prijs'!$C$31:$C$38)*$Q150</f>
        <v>0</v>
      </c>
      <c r="Q150" s="3">
        <f t="shared" si="2"/>
        <v>0</v>
      </c>
    </row>
    <row r="151" spans="1:17" hidden="1">
      <c r="A151" t="s">
        <v>132</v>
      </c>
      <c r="B151" t="s">
        <v>122</v>
      </c>
      <c r="C151" t="s">
        <v>166</v>
      </c>
      <c r="D151" t="s">
        <v>166</v>
      </c>
      <c r="E151">
        <v>2014</v>
      </c>
      <c r="F151" s="3">
        <f>153.03+302.11+226.98-6758.52</f>
        <v>-6076.4000000000005</v>
      </c>
      <c r="G151"/>
      <c r="H151"/>
      <c r="I151"/>
      <c r="J151"/>
      <c r="K151"/>
      <c r="L151"/>
      <c r="M151"/>
      <c r="N151"/>
      <c r="O151"/>
      <c r="P151"/>
      <c r="Q151" s="3">
        <f t="shared" si="2"/>
        <v>6076.4000000000005</v>
      </c>
    </row>
    <row r="152" spans="1:17">
      <c r="A152" t="s">
        <v>132</v>
      </c>
      <c r="B152" t="s">
        <v>132</v>
      </c>
      <c r="C152" t="s">
        <v>168</v>
      </c>
      <c r="D152" t="s">
        <v>169</v>
      </c>
      <c r="E152">
        <v>2014</v>
      </c>
      <c r="F152" s="3">
        <v>5764.02</v>
      </c>
      <c r="G152" s="14">
        <f>'Omzet&amp;Prijs'!$C$35/SUM('Omzet&amp;Prijs'!$C$31:$C$38)*$Q152</f>
        <v>4.16689190503826</v>
      </c>
      <c r="H152" s="14">
        <f>'Omzet&amp;Prijs'!$C$38/SUM('Omzet&amp;Prijs'!$C$31:$C$38)*$Q152</f>
        <v>25.523421413691427</v>
      </c>
      <c r="I152" s="14">
        <f>'Omzet&amp;Prijs'!$C$33/SUM('Omzet&amp;Prijs'!$C$31:$C$38)*$Q152</f>
        <v>1426.5949016601869</v>
      </c>
      <c r="J152" s="14">
        <f>'Omzet&amp;Prijs'!$C$34/SUM('Omzet&amp;Prijs'!$C$31:$C$38)*$Q152</f>
        <v>746.55040838781747</v>
      </c>
      <c r="K152" s="14">
        <v>0</v>
      </c>
      <c r="L152" s="14">
        <f>'Omzet&amp;Prijs'!$C$36/SUM('Omzet&amp;Prijs'!$C$31:$C$38)*$Q152</f>
        <v>126.78566227998081</v>
      </c>
      <c r="M152" s="14">
        <v>0</v>
      </c>
      <c r="N152" s="14">
        <f>'Omzet&amp;Prijs'!$C$32/SUM('Omzet&amp;Prijs'!$C$31:$C$38)*$Q152</f>
        <v>718.63416621659258</v>
      </c>
      <c r="O152" s="14">
        <f>'Omzet&amp;Prijs'!$C$37/SUM('Omzet&amp;Prijs'!$C$31:$C$38)*$Q152</f>
        <v>2395.2860880110302</v>
      </c>
      <c r="P152" s="14">
        <f>'Omzet&amp;Prijs'!$C$31/SUM('Omzet&amp;Prijs'!$C$31:$C$38)*$Q152</f>
        <v>320.47846012566299</v>
      </c>
      <c r="Q152" s="3">
        <f t="shared" si="2"/>
        <v>5764.02</v>
      </c>
    </row>
    <row r="153" spans="1:17">
      <c r="A153" t="s">
        <v>132</v>
      </c>
      <c r="B153" t="s">
        <v>132</v>
      </c>
      <c r="C153" t="s">
        <v>156</v>
      </c>
      <c r="D153" t="s">
        <v>170</v>
      </c>
      <c r="E153">
        <v>2014</v>
      </c>
      <c r="F153" s="3">
        <v>100</v>
      </c>
      <c r="G153" s="14">
        <f>'Omzet&amp;Prijs'!$C$35/SUM('Omzet&amp;Prijs'!$C$31:$C$38)*$Q153</f>
        <v>7.2291419964508441E-2</v>
      </c>
      <c r="H153" s="14">
        <f>'Omzet&amp;Prijs'!$C$38/SUM('Omzet&amp;Prijs'!$C$31:$C$38)*$Q153</f>
        <v>0.44280591347169901</v>
      </c>
      <c r="I153" s="14">
        <f>'Omzet&amp;Prijs'!$C$33/SUM('Omzet&amp;Prijs'!$C$31:$C$38)*$Q153</f>
        <v>24.749999161352438</v>
      </c>
      <c r="J153" s="14">
        <f>'Omzet&amp;Prijs'!$C$34/SUM('Omzet&amp;Prijs'!$C$31:$C$38)*$Q153</f>
        <v>12.951905239534517</v>
      </c>
      <c r="K153" s="14">
        <v>0</v>
      </c>
      <c r="L153" s="14">
        <f>'Omzet&amp;Prijs'!$C$36/SUM('Omzet&amp;Prijs'!$C$31:$C$38)*$Q153</f>
        <v>2.1996048292681292</v>
      </c>
      <c r="M153" s="14">
        <v>0</v>
      </c>
      <c r="N153" s="14">
        <f>'Omzet&amp;Prijs'!$C$32/SUM('Omzet&amp;Prijs'!$C$31:$C$38)*$Q153</f>
        <v>12.467586271674847</v>
      </c>
      <c r="O153" s="14">
        <f>'Omzet&amp;Prijs'!$C$37/SUM('Omzet&amp;Prijs'!$C$31:$C$38)*$Q153</f>
        <v>41.555825413704845</v>
      </c>
      <c r="P153" s="14">
        <f>'Omzet&amp;Prijs'!$C$31/SUM('Omzet&amp;Prijs'!$C$31:$C$38)*$Q153</f>
        <v>5.5599817510290208</v>
      </c>
      <c r="Q153" s="3">
        <f t="shared" si="2"/>
        <v>100</v>
      </c>
    </row>
    <row r="154" spans="1:17">
      <c r="A154" t="s">
        <v>132</v>
      </c>
      <c r="B154" t="s">
        <v>132</v>
      </c>
      <c r="C154" t="s">
        <v>171</v>
      </c>
      <c r="D154" t="s">
        <v>172</v>
      </c>
      <c r="E154">
        <v>2014</v>
      </c>
      <c r="F154" s="3">
        <v>0</v>
      </c>
      <c r="G154" s="14">
        <f>'Omzet&amp;Prijs'!$C$35/SUM('Omzet&amp;Prijs'!$C$31:$C$38)*$Q154</f>
        <v>0</v>
      </c>
      <c r="H154" s="14">
        <f>'Omzet&amp;Prijs'!$C$38/SUM('Omzet&amp;Prijs'!$C$31:$C$38)*$Q154</f>
        <v>0</v>
      </c>
      <c r="I154" s="14">
        <f>'Omzet&amp;Prijs'!$C$33/SUM('Omzet&amp;Prijs'!$C$31:$C$38)*$Q154</f>
        <v>0</v>
      </c>
      <c r="J154" s="14">
        <f>'Omzet&amp;Prijs'!$C$34/SUM('Omzet&amp;Prijs'!$C$31:$C$38)*$Q154</f>
        <v>0</v>
      </c>
      <c r="K154" s="14">
        <v>0</v>
      </c>
      <c r="L154" s="14">
        <f>'Omzet&amp;Prijs'!$C$36/SUM('Omzet&amp;Prijs'!$C$31:$C$38)*$Q154</f>
        <v>0</v>
      </c>
      <c r="M154" s="14">
        <v>0</v>
      </c>
      <c r="N154" s="14">
        <f>'Omzet&amp;Prijs'!$C$32/SUM('Omzet&amp;Prijs'!$C$31:$C$38)*$Q154</f>
        <v>0</v>
      </c>
      <c r="O154" s="14">
        <f>'Omzet&amp;Prijs'!$C$37/SUM('Omzet&amp;Prijs'!$C$31:$C$38)*$Q154</f>
        <v>0</v>
      </c>
      <c r="P154" s="14">
        <f>'Omzet&amp;Prijs'!$C$31/SUM('Omzet&amp;Prijs'!$C$31:$C$38)*$Q154</f>
        <v>0</v>
      </c>
      <c r="Q154" s="3">
        <f t="shared" si="2"/>
        <v>0</v>
      </c>
    </row>
    <row r="155" spans="1:17" hidden="1">
      <c r="A155" t="s">
        <v>118</v>
      </c>
      <c r="B155" t="s">
        <v>122</v>
      </c>
      <c r="C155" t="s">
        <v>154</v>
      </c>
      <c r="D155" t="s">
        <v>173</v>
      </c>
      <c r="E155">
        <v>2014</v>
      </c>
      <c r="F155" s="3">
        <v>371.68</v>
      </c>
      <c r="G155"/>
      <c r="H155"/>
      <c r="I155"/>
      <c r="J155"/>
      <c r="K155"/>
      <c r="L155"/>
      <c r="M155"/>
      <c r="N155"/>
      <c r="O155"/>
      <c r="P155"/>
      <c r="Q155" s="3">
        <f t="shared" si="2"/>
        <v>371.68</v>
      </c>
    </row>
    <row r="156" spans="1:17" hidden="1">
      <c r="A156" t="s">
        <v>132</v>
      </c>
      <c r="B156" t="s">
        <v>122</v>
      </c>
      <c r="C156" t="s">
        <v>174</v>
      </c>
      <c r="D156" t="s">
        <v>175</v>
      </c>
      <c r="E156">
        <v>2014</v>
      </c>
      <c r="F156" s="3">
        <v>37867</v>
      </c>
      <c r="G156"/>
      <c r="H156"/>
      <c r="I156"/>
      <c r="J156"/>
      <c r="K156"/>
      <c r="L156"/>
      <c r="M156"/>
      <c r="N156"/>
      <c r="O156"/>
      <c r="P156"/>
      <c r="Q156" s="3">
        <f t="shared" si="2"/>
        <v>37867</v>
      </c>
    </row>
    <row r="157" spans="1:17" ht="14.45" thickBot="1">
      <c r="A157" s="11" t="s">
        <v>132</v>
      </c>
      <c r="B157" s="11" t="s">
        <v>132</v>
      </c>
      <c r="C157" s="11" t="s">
        <v>176</v>
      </c>
      <c r="D157" s="11" t="s">
        <v>177</v>
      </c>
      <c r="E157" s="11">
        <v>2014</v>
      </c>
      <c r="F157" s="12">
        <v>1050</v>
      </c>
      <c r="G157" s="15">
        <f>'Omzet&amp;Prijs'!$C$35/SUM('Omzet&amp;Prijs'!$C$31:$C$38)*$Q157</f>
        <v>0.7590599096273386</v>
      </c>
      <c r="H157" s="15">
        <f>'Omzet&amp;Prijs'!$C$38/SUM('Omzet&amp;Prijs'!$C$31:$C$38)*$Q157</f>
        <v>4.6494620914528397</v>
      </c>
      <c r="I157" s="15">
        <f>'Omzet&amp;Prijs'!$C$33/SUM('Omzet&amp;Prijs'!$C$31:$C$38)*$Q157</f>
        <v>259.87499119420062</v>
      </c>
      <c r="J157" s="15">
        <f>'Omzet&amp;Prijs'!$C$34/SUM('Omzet&amp;Prijs'!$C$31:$C$38)*$Q157</f>
        <v>135.99500501511244</v>
      </c>
      <c r="K157" s="15">
        <v>0</v>
      </c>
      <c r="L157" s="15">
        <f>'Omzet&amp;Prijs'!$C$36/SUM('Omzet&amp;Prijs'!$C$31:$C$38)*$Q157</f>
        <v>23.095850707315353</v>
      </c>
      <c r="M157" s="15">
        <v>0</v>
      </c>
      <c r="N157" s="15">
        <f>'Omzet&amp;Prijs'!$C$32/SUM('Omzet&amp;Prijs'!$C$31:$C$38)*$Q157</f>
        <v>130.9096558525859</v>
      </c>
      <c r="O157" s="15">
        <f>'Omzet&amp;Prijs'!$C$37/SUM('Omzet&amp;Prijs'!$C$31:$C$38)*$Q157</f>
        <v>436.33616684390086</v>
      </c>
      <c r="P157" s="15">
        <f>'Omzet&amp;Prijs'!$C$31/SUM('Omzet&amp;Prijs'!$C$31:$C$38)*$Q157</f>
        <v>58.379808385804722</v>
      </c>
      <c r="Q157" s="12">
        <f t="shared" si="2"/>
        <v>1050</v>
      </c>
    </row>
    <row r="158" spans="1:17" hidden="1">
      <c r="A158" t="s">
        <v>118</v>
      </c>
      <c r="B158" t="s">
        <v>119</v>
      </c>
      <c r="C158" t="s">
        <v>120</v>
      </c>
      <c r="D158" t="s">
        <v>121</v>
      </c>
      <c r="E158">
        <v>2015</v>
      </c>
      <c r="F158" s="3">
        <v>-185247.22</v>
      </c>
      <c r="G158"/>
      <c r="H158"/>
      <c r="I158"/>
      <c r="J158"/>
      <c r="K158"/>
      <c r="L158"/>
      <c r="M158"/>
      <c r="N158"/>
      <c r="O158"/>
      <c r="P158"/>
      <c r="Q158" s="3">
        <f t="shared" si="2"/>
        <v>185247.22</v>
      </c>
    </row>
    <row r="159" spans="1:17" hidden="1">
      <c r="A159" t="s">
        <v>118</v>
      </c>
      <c r="B159" t="s">
        <v>122</v>
      </c>
      <c r="C159" t="s">
        <v>123</v>
      </c>
      <c r="D159" t="s">
        <v>124</v>
      </c>
      <c r="E159">
        <v>2015</v>
      </c>
      <c r="F159" s="3">
        <v>-3063.84</v>
      </c>
      <c r="G159"/>
      <c r="H159"/>
      <c r="I159"/>
      <c r="J159"/>
      <c r="K159"/>
      <c r="L159"/>
      <c r="M159"/>
      <c r="N159"/>
      <c r="O159"/>
      <c r="P159"/>
      <c r="Q159" s="3">
        <f t="shared" si="2"/>
        <v>3063.84</v>
      </c>
    </row>
    <row r="160" spans="1:17" hidden="1">
      <c r="A160" t="s">
        <v>118</v>
      </c>
      <c r="B160" t="s">
        <v>122</v>
      </c>
      <c r="C160" t="s">
        <v>123</v>
      </c>
      <c r="D160" t="s">
        <v>125</v>
      </c>
      <c r="E160">
        <v>2015</v>
      </c>
      <c r="F160" s="3">
        <v>-102002.5</v>
      </c>
      <c r="G160"/>
      <c r="H160"/>
      <c r="I160"/>
      <c r="J160"/>
      <c r="K160"/>
      <c r="L160"/>
      <c r="M160"/>
      <c r="N160"/>
      <c r="O160"/>
      <c r="P160"/>
      <c r="Q160" s="3">
        <f t="shared" si="2"/>
        <v>102002.5</v>
      </c>
    </row>
    <row r="161" spans="1:17" hidden="1">
      <c r="A161" t="s">
        <v>118</v>
      </c>
      <c r="B161" t="s">
        <v>122</v>
      </c>
      <c r="C161" t="s">
        <v>123</v>
      </c>
      <c r="D161" t="s">
        <v>126</v>
      </c>
      <c r="E161">
        <v>2015</v>
      </c>
      <c r="F161" s="3">
        <v>-2750.67</v>
      </c>
      <c r="G161"/>
      <c r="H161"/>
      <c r="I161"/>
      <c r="J161"/>
      <c r="K161"/>
      <c r="L161"/>
      <c r="M161"/>
      <c r="N161"/>
      <c r="O161"/>
      <c r="P161"/>
      <c r="Q161" s="3">
        <f t="shared" si="2"/>
        <v>2750.67</v>
      </c>
    </row>
    <row r="162" spans="1:17" hidden="1">
      <c r="A162" t="s">
        <v>118</v>
      </c>
      <c r="B162" t="s">
        <v>122</v>
      </c>
      <c r="C162" t="s">
        <v>127</v>
      </c>
      <c r="D162" t="s">
        <v>128</v>
      </c>
      <c r="E162">
        <v>2015</v>
      </c>
      <c r="F162" s="3">
        <v>-528.91999999999996</v>
      </c>
      <c r="G162"/>
      <c r="H162"/>
      <c r="I162"/>
      <c r="J162"/>
      <c r="K162"/>
      <c r="L162"/>
      <c r="M162"/>
      <c r="N162"/>
      <c r="O162"/>
      <c r="P162"/>
      <c r="Q162" s="3">
        <f t="shared" si="2"/>
        <v>528.91999999999996</v>
      </c>
    </row>
    <row r="163" spans="1:17" hidden="1">
      <c r="A163" t="s">
        <v>118</v>
      </c>
      <c r="B163" t="s">
        <v>122</v>
      </c>
      <c r="C163" t="s">
        <v>129</v>
      </c>
      <c r="D163" t="s">
        <v>130</v>
      </c>
      <c r="E163">
        <v>2015</v>
      </c>
      <c r="F163" s="3">
        <v>-513.87</v>
      </c>
      <c r="G163"/>
      <c r="H163"/>
      <c r="I163"/>
      <c r="J163"/>
      <c r="K163"/>
      <c r="L163"/>
      <c r="M163"/>
      <c r="N163"/>
      <c r="O163"/>
      <c r="P163"/>
      <c r="Q163" s="3">
        <f t="shared" si="2"/>
        <v>513.87</v>
      </c>
    </row>
    <row r="164" spans="1:17" hidden="1">
      <c r="A164" t="s">
        <v>118</v>
      </c>
      <c r="B164" t="s">
        <v>122</v>
      </c>
      <c r="C164" t="s">
        <v>129</v>
      </c>
      <c r="D164" t="s">
        <v>131</v>
      </c>
      <c r="E164">
        <v>2015</v>
      </c>
      <c r="F164" s="3">
        <v>-1401.83</v>
      </c>
      <c r="G164"/>
      <c r="H164"/>
      <c r="I164"/>
      <c r="J164"/>
      <c r="K164"/>
      <c r="L164"/>
      <c r="M164"/>
      <c r="N164"/>
      <c r="O164"/>
      <c r="P164"/>
      <c r="Q164" s="3">
        <f t="shared" si="2"/>
        <v>1401.83</v>
      </c>
    </row>
    <row r="165" spans="1:17">
      <c r="A165" t="s">
        <v>118</v>
      </c>
      <c r="B165" t="s">
        <v>132</v>
      </c>
      <c r="C165" t="s">
        <v>133</v>
      </c>
      <c r="D165" t="s">
        <v>133</v>
      </c>
      <c r="E165">
        <v>2015</v>
      </c>
      <c r="F165" s="3">
        <v>1842.54</v>
      </c>
      <c r="G165" s="14">
        <v>0</v>
      </c>
      <c r="H165" s="14">
        <f>'Omzet&amp;Prijs'!$C$45/SUM('Omzet&amp;Prijs'!$C$39:$C$45)*$Q165</f>
        <v>22.839354327001583</v>
      </c>
      <c r="I165" s="14">
        <f>'Omzet&amp;Prijs'!$C$42/SUM('Omzet&amp;Prijs'!$C$39:$C$45)*$Q165</f>
        <v>370.09913517227631</v>
      </c>
      <c r="J165" s="14">
        <f>'Omzet&amp;Prijs'!$C$43/SUM('Omzet&amp;Prijs'!$C$39:$C$45)*$Q165</f>
        <v>290.36263142603264</v>
      </c>
      <c r="K165" s="14">
        <f>'Omzet&amp;Prijs'!$C$41/SUM('Omzet&amp;Prijs'!$C$39:$C$45)*$Q165</f>
        <v>111.6568947637417</v>
      </c>
      <c r="L165" s="14">
        <v>0</v>
      </c>
      <c r="M165" s="14">
        <v>0</v>
      </c>
      <c r="N165" s="14">
        <f>'Omzet&amp;Prijs'!$C$39/SUM('Omzet&amp;Prijs'!$C$39:$C$45)*$Q165</f>
        <v>474.87100986344717</v>
      </c>
      <c r="O165" s="14">
        <f>'Omzet&amp;Prijs'!$C$44/SUM('Omzet&amp;Prijs'!$C$39:$C$45)*$Q165</f>
        <v>402.7971192626697</v>
      </c>
      <c r="P165" s="14">
        <f>'Omzet&amp;Prijs'!$C$40/SUM('Omzet&amp;Prijs'!$C$39:$C$45)*$Q165</f>
        <v>169.91385518483094</v>
      </c>
      <c r="Q165" s="3">
        <f t="shared" si="2"/>
        <v>1842.54</v>
      </c>
    </row>
    <row r="166" spans="1:17">
      <c r="A166" t="s">
        <v>118</v>
      </c>
      <c r="B166" t="s">
        <v>132</v>
      </c>
      <c r="C166" t="s">
        <v>134</v>
      </c>
      <c r="D166" t="s">
        <v>135</v>
      </c>
      <c r="E166">
        <v>2015</v>
      </c>
      <c r="F166" s="3">
        <f>4537.85+3307.29</f>
        <v>7845.14</v>
      </c>
      <c r="G166" s="14">
        <v>0</v>
      </c>
      <c r="H166" s="14">
        <f>'Omzet&amp;Prijs'!$C$45/SUM('Omzet&amp;Prijs'!$C$39:$C$45)*$Q166</f>
        <v>97.245070503182134</v>
      </c>
      <c r="I166" s="14">
        <f>'Omzet&amp;Prijs'!$C$42/SUM('Omzet&amp;Prijs'!$C$39:$C$45)*$Q166</f>
        <v>1575.8027121828734</v>
      </c>
      <c r="J166" s="14">
        <f>'Omzet&amp;Prijs'!$C$43/SUM('Omzet&amp;Prijs'!$C$39:$C$45)*$Q166</f>
        <v>1236.3017868299337</v>
      </c>
      <c r="K166" s="14">
        <f>'Omzet&amp;Prijs'!$C$41/SUM('Omzet&amp;Prijs'!$C$39:$C$45)*$Q166</f>
        <v>475.41110173283653</v>
      </c>
      <c r="L166" s="14">
        <v>0</v>
      </c>
      <c r="M166" s="14">
        <v>0</v>
      </c>
      <c r="N166" s="14">
        <f>'Omzet&amp;Prijs'!$C$39/SUM('Omzet&amp;Prijs'!$C$39:$C$45)*$Q166</f>
        <v>2021.8988756391309</v>
      </c>
      <c r="O166" s="14">
        <f>'Omzet&amp;Prijs'!$C$44/SUM('Omzet&amp;Prijs'!$C$39:$C$45)*$Q166</f>
        <v>1715.0237130332805</v>
      </c>
      <c r="P166" s="14">
        <f>'Omzet&amp;Prijs'!$C$40/SUM('Omzet&amp;Prijs'!$C$39:$C$45)*$Q166</f>
        <v>723.45674007876346</v>
      </c>
      <c r="Q166" s="3">
        <f t="shared" si="2"/>
        <v>7845.14</v>
      </c>
    </row>
    <row r="167" spans="1:17">
      <c r="A167" t="s">
        <v>118</v>
      </c>
      <c r="B167" t="s">
        <v>132</v>
      </c>
      <c r="C167" t="s">
        <v>136</v>
      </c>
      <c r="D167" t="s">
        <v>137</v>
      </c>
      <c r="E167">
        <v>2015</v>
      </c>
      <c r="F167" s="3">
        <v>1458.32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f>Q167</f>
        <v>1458.32</v>
      </c>
      <c r="O167" s="2">
        <v>0</v>
      </c>
      <c r="P167" s="2">
        <v>0</v>
      </c>
      <c r="Q167" s="3">
        <f t="shared" si="2"/>
        <v>1458.32</v>
      </c>
    </row>
    <row r="168" spans="1:17">
      <c r="A168" t="s">
        <v>118</v>
      </c>
      <c r="B168" t="s">
        <v>132</v>
      </c>
      <c r="C168" t="s">
        <v>138</v>
      </c>
      <c r="D168" t="s">
        <v>139</v>
      </c>
      <c r="E168">
        <v>2015</v>
      </c>
      <c r="F168" s="3">
        <v>1822.97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f>Q168</f>
        <v>1822.97</v>
      </c>
      <c r="O168" s="2">
        <v>0</v>
      </c>
      <c r="P168" s="2">
        <v>0</v>
      </c>
      <c r="Q168" s="3">
        <f t="shared" si="2"/>
        <v>1822.97</v>
      </c>
    </row>
    <row r="169" spans="1:17">
      <c r="A169" t="s">
        <v>118</v>
      </c>
      <c r="B169" t="s">
        <v>132</v>
      </c>
      <c r="C169" t="s">
        <v>140</v>
      </c>
      <c r="D169" t="s">
        <v>141</v>
      </c>
      <c r="E169">
        <v>2015</v>
      </c>
      <c r="F169" s="3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f>Q169</f>
        <v>0</v>
      </c>
      <c r="O169" s="2">
        <v>0</v>
      </c>
      <c r="P169" s="2">
        <v>0</v>
      </c>
      <c r="Q169" s="3">
        <f t="shared" si="2"/>
        <v>0</v>
      </c>
    </row>
    <row r="170" spans="1:17" hidden="1">
      <c r="A170" t="s">
        <v>123</v>
      </c>
      <c r="B170" t="s">
        <v>122</v>
      </c>
      <c r="C170" t="s">
        <v>123</v>
      </c>
      <c r="D170" t="s">
        <v>142</v>
      </c>
      <c r="E170">
        <v>2015</v>
      </c>
      <c r="F170" s="3">
        <f>-847.37+3373.85+108900+5942.08+1602.37+223.81+60.32+42.51+-223.81+-71.07+-42.51</f>
        <v>118960.18</v>
      </c>
      <c r="G170"/>
      <c r="H170"/>
      <c r="I170"/>
      <c r="J170"/>
      <c r="K170"/>
      <c r="L170"/>
      <c r="M170"/>
      <c r="N170"/>
      <c r="O170"/>
      <c r="P170"/>
      <c r="Q170" s="3">
        <f t="shared" si="2"/>
        <v>118960.18</v>
      </c>
    </row>
    <row r="171" spans="1:17" hidden="1">
      <c r="A171" t="s">
        <v>132</v>
      </c>
      <c r="B171" t="s">
        <v>122</v>
      </c>
      <c r="C171" t="s">
        <v>143</v>
      </c>
      <c r="D171" t="s">
        <v>143</v>
      </c>
      <c r="E171">
        <v>2015</v>
      </c>
      <c r="F171" s="3">
        <v>0</v>
      </c>
      <c r="G171"/>
      <c r="H171"/>
      <c r="I171"/>
      <c r="J171"/>
      <c r="K171"/>
      <c r="L171"/>
      <c r="M171"/>
      <c r="N171"/>
      <c r="O171"/>
      <c r="P171"/>
      <c r="Q171" s="3">
        <f t="shared" si="2"/>
        <v>0</v>
      </c>
    </row>
    <row r="172" spans="1:17">
      <c r="A172" t="s">
        <v>132</v>
      </c>
      <c r="B172" t="s">
        <v>132</v>
      </c>
      <c r="C172" t="s">
        <v>144</v>
      </c>
      <c r="D172" t="s">
        <v>145</v>
      </c>
      <c r="E172">
        <v>2015</v>
      </c>
      <c r="F172" s="3">
        <v>0</v>
      </c>
      <c r="G172" s="14">
        <v>0</v>
      </c>
      <c r="H172" s="14">
        <f>'Omzet&amp;Prijs'!$C$45/SUM('Omzet&amp;Prijs'!$C$39:$C$45)*$Q172</f>
        <v>0</v>
      </c>
      <c r="I172" s="14">
        <f>'Omzet&amp;Prijs'!$C$42/SUM('Omzet&amp;Prijs'!$C$39:$C$45)*$Q172</f>
        <v>0</v>
      </c>
      <c r="J172" s="14">
        <f>'Omzet&amp;Prijs'!$C$43/SUM('Omzet&amp;Prijs'!$C$39:$C$45)*$Q172</f>
        <v>0</v>
      </c>
      <c r="K172" s="14">
        <f>'Omzet&amp;Prijs'!$C$41/SUM('Omzet&amp;Prijs'!$C$39:$C$45)*$Q172</f>
        <v>0</v>
      </c>
      <c r="L172" s="14">
        <v>0</v>
      </c>
      <c r="M172" s="14">
        <v>0</v>
      </c>
      <c r="N172" s="14">
        <f>'Omzet&amp;Prijs'!$C$39/SUM('Omzet&amp;Prijs'!$C$39:$C$45)*$Q172</f>
        <v>0</v>
      </c>
      <c r="O172" s="14">
        <f>'Omzet&amp;Prijs'!$C$44/SUM('Omzet&amp;Prijs'!$C$39:$C$45)*$Q172</f>
        <v>0</v>
      </c>
      <c r="P172" s="14">
        <f>'Omzet&amp;Prijs'!$C$40/SUM('Omzet&amp;Prijs'!$C$39:$C$45)*$Q172</f>
        <v>0</v>
      </c>
      <c r="Q172" s="3">
        <f t="shared" si="2"/>
        <v>0</v>
      </c>
    </row>
    <row r="173" spans="1:17">
      <c r="A173" t="s">
        <v>132</v>
      </c>
      <c r="B173" t="s">
        <v>132</v>
      </c>
      <c r="C173" t="s">
        <v>144</v>
      </c>
      <c r="D173" t="s">
        <v>146</v>
      </c>
      <c r="E173">
        <v>2015</v>
      </c>
      <c r="F173" s="3">
        <v>46.33</v>
      </c>
      <c r="G173" s="14">
        <v>0</v>
      </c>
      <c r="H173" s="14">
        <f>'Omzet&amp;Prijs'!$C$45/SUM('Omzet&amp;Prijs'!$C$39:$C$45)*$Q173</f>
        <v>0.57428728058548706</v>
      </c>
      <c r="I173" s="14">
        <f>'Omzet&amp;Prijs'!$C$42/SUM('Omzet&amp;Prijs'!$C$39:$C$45)*$Q173</f>
        <v>9.3060085167928843</v>
      </c>
      <c r="J173" s="14">
        <f>'Omzet&amp;Prijs'!$C$43/SUM('Omzet&amp;Prijs'!$C$39:$C$45)*$Q173</f>
        <v>7.3010630509883594</v>
      </c>
      <c r="K173" s="14">
        <f>'Omzet&amp;Prijs'!$C$41/SUM('Omzet&amp;Prijs'!$C$39:$C$45)*$Q173</f>
        <v>2.8075721202275949</v>
      </c>
      <c r="L173" s="14">
        <v>0</v>
      </c>
      <c r="M173" s="14">
        <v>0</v>
      </c>
      <c r="N173" s="14">
        <f>'Omzet&amp;Prijs'!$C$39/SUM('Omzet&amp;Prijs'!$C$39:$C$45)*$Q173</f>
        <v>11.940459304532606</v>
      </c>
      <c r="O173" s="14">
        <f>'Omzet&amp;Prijs'!$C$44/SUM('Omzet&amp;Prijs'!$C$39:$C$45)*$Q173</f>
        <v>10.128187466996367</v>
      </c>
      <c r="P173" s="14">
        <f>'Omzet&amp;Prijs'!$C$40/SUM('Omzet&amp;Prijs'!$C$39:$C$45)*$Q173</f>
        <v>4.2724222598767012</v>
      </c>
      <c r="Q173" s="3">
        <f t="shared" si="2"/>
        <v>46.33</v>
      </c>
    </row>
    <row r="174" spans="1:17">
      <c r="A174" t="s">
        <v>132</v>
      </c>
      <c r="B174" t="s">
        <v>132</v>
      </c>
      <c r="C174" t="s">
        <v>147</v>
      </c>
      <c r="D174" t="s">
        <v>148</v>
      </c>
      <c r="E174">
        <v>2015</v>
      </c>
      <c r="F174" s="3">
        <v>0</v>
      </c>
      <c r="G174" s="14">
        <v>0</v>
      </c>
      <c r="H174" s="14">
        <f>'Omzet&amp;Prijs'!$C$45/SUM('Omzet&amp;Prijs'!$C$39:$C$45)*$Q174</f>
        <v>0</v>
      </c>
      <c r="I174" s="14">
        <f>'Omzet&amp;Prijs'!$C$42/SUM('Omzet&amp;Prijs'!$C$39:$C$45)*$Q174</f>
        <v>0</v>
      </c>
      <c r="J174" s="14">
        <f>'Omzet&amp;Prijs'!$C$43/SUM('Omzet&amp;Prijs'!$C$39:$C$45)*$Q174</f>
        <v>0</v>
      </c>
      <c r="K174" s="14">
        <f>'Omzet&amp;Prijs'!$C$41/SUM('Omzet&amp;Prijs'!$C$39:$C$45)*$Q174</f>
        <v>0</v>
      </c>
      <c r="L174" s="14">
        <v>0</v>
      </c>
      <c r="M174" s="14">
        <v>0</v>
      </c>
      <c r="N174" s="14">
        <f>'Omzet&amp;Prijs'!$C$39/SUM('Omzet&amp;Prijs'!$C$39:$C$45)*$Q174</f>
        <v>0</v>
      </c>
      <c r="O174" s="14">
        <f>'Omzet&amp;Prijs'!$C$44/SUM('Omzet&amp;Prijs'!$C$39:$C$45)*$Q174</f>
        <v>0</v>
      </c>
      <c r="P174" s="14">
        <f>'Omzet&amp;Prijs'!$C$40/SUM('Omzet&amp;Prijs'!$C$39:$C$45)*$Q174</f>
        <v>0</v>
      </c>
      <c r="Q174" s="3">
        <f t="shared" si="2"/>
        <v>0</v>
      </c>
    </row>
    <row r="175" spans="1:17">
      <c r="A175" t="s">
        <v>132</v>
      </c>
      <c r="B175" t="s">
        <v>132</v>
      </c>
      <c r="C175" t="s">
        <v>149</v>
      </c>
      <c r="D175" t="s">
        <v>150</v>
      </c>
      <c r="E175">
        <v>2015</v>
      </c>
      <c r="F175" s="3">
        <v>2876.27</v>
      </c>
      <c r="G175" s="14">
        <v>0</v>
      </c>
      <c r="H175" s="14">
        <f>'Omzet&amp;Prijs'!$C$45/SUM('Omzet&amp;Prijs'!$C$39:$C$45)*$Q175</f>
        <v>35.653038560967389</v>
      </c>
      <c r="I175" s="14">
        <f>'Omzet&amp;Prijs'!$C$42/SUM('Omzet&amp;Prijs'!$C$39:$C$45)*$Q175</f>
        <v>577.73781818683074</v>
      </c>
      <c r="J175" s="14">
        <f>'Omzet&amp;Prijs'!$C$43/SUM('Omzet&amp;Prijs'!$C$39:$C$45)*$Q175</f>
        <v>453.26632034677942</v>
      </c>
      <c r="K175" s="14">
        <f>'Omzet&amp;Prijs'!$C$41/SUM('Omzet&amp;Prijs'!$C$39:$C$45)*$Q175</f>
        <v>174.30035532585853</v>
      </c>
      <c r="L175" s="14">
        <v>0</v>
      </c>
      <c r="M175" s="14">
        <v>0</v>
      </c>
      <c r="N175" s="14">
        <f>'Omzet&amp;Prijs'!$C$39/SUM('Omzet&amp;Prijs'!$C$39:$C$45)*$Q175</f>
        <v>741.29041406967406</v>
      </c>
      <c r="O175" s="14">
        <f>'Omzet&amp;Prijs'!$C$44/SUM('Omzet&amp;Prijs'!$C$39:$C$45)*$Q175</f>
        <v>628.78052591620212</v>
      </c>
      <c r="P175" s="14">
        <f>'Omzet&amp;Prijs'!$C$40/SUM('Omzet&amp;Prijs'!$C$39:$C$45)*$Q175</f>
        <v>265.24152759368792</v>
      </c>
      <c r="Q175" s="3">
        <f t="shared" si="2"/>
        <v>2876.27</v>
      </c>
    </row>
    <row r="176" spans="1:17">
      <c r="A176" t="s">
        <v>132</v>
      </c>
      <c r="B176" t="s">
        <v>132</v>
      </c>
      <c r="C176" t="s">
        <v>123</v>
      </c>
      <c r="D176" t="s">
        <v>151</v>
      </c>
      <c r="E176">
        <v>2015</v>
      </c>
      <c r="F176" s="3">
        <v>0.23</v>
      </c>
      <c r="G176" s="14">
        <v>0</v>
      </c>
      <c r="H176" s="14">
        <f>'Omzet&amp;Prijs'!$C$45/SUM('Omzet&amp;Prijs'!$C$39:$C$45)*$Q176</f>
        <v>2.8509836938195995E-3</v>
      </c>
      <c r="I176" s="14">
        <f>'Omzet&amp;Prijs'!$C$42/SUM('Omzet&amp;Prijs'!$C$39:$C$45)*$Q176</f>
        <v>4.6198617717728541E-2</v>
      </c>
      <c r="J176" s="14">
        <f>'Omzet&amp;Prijs'!$C$43/SUM('Omzet&amp;Prijs'!$C$39:$C$45)*$Q176</f>
        <v>3.6245294662795656E-2</v>
      </c>
      <c r="K176" s="14">
        <f>'Omzet&amp;Prijs'!$C$41/SUM('Omzet&amp;Prijs'!$C$39:$C$45)*$Q176</f>
        <v>1.3937871522822078E-2</v>
      </c>
      <c r="L176" s="14">
        <v>0</v>
      </c>
      <c r="M176" s="14">
        <v>0</v>
      </c>
      <c r="N176" s="14">
        <f>'Omzet&amp;Prijs'!$C$39/SUM('Omzet&amp;Prijs'!$C$39:$C$45)*$Q176</f>
        <v>5.9277048133876527E-2</v>
      </c>
      <c r="O176" s="14">
        <f>'Omzet&amp;Prijs'!$C$44/SUM('Omzet&amp;Prijs'!$C$39:$C$45)*$Q176</f>
        <v>5.0280231327631444E-2</v>
      </c>
      <c r="P176" s="14">
        <f>'Omzet&amp;Prijs'!$C$40/SUM('Omzet&amp;Prijs'!$C$39:$C$45)*$Q176</f>
        <v>2.120995294132617E-2</v>
      </c>
      <c r="Q176" s="3">
        <f t="shared" si="2"/>
        <v>0.23</v>
      </c>
    </row>
    <row r="177" spans="1:17">
      <c r="A177" t="s">
        <v>132</v>
      </c>
      <c r="B177" t="s">
        <v>132</v>
      </c>
      <c r="C177" t="s">
        <v>152</v>
      </c>
      <c r="D177" t="s">
        <v>153</v>
      </c>
      <c r="E177">
        <v>2015</v>
      </c>
      <c r="F177" s="3">
        <v>7272.42</v>
      </c>
      <c r="G177" s="10">
        <v>0</v>
      </c>
      <c r="H177" s="10">
        <f>'Omzet&amp;Prijs'!$C$45/(SUM('Omzet&amp;Prijs'!$C$39:$C$45)-'Omzet&amp;Prijs'!$C$44)*$Q177</f>
        <v>115.36600001085611</v>
      </c>
      <c r="I177" s="10">
        <f>'Omzet&amp;Prijs'!$C$42/(SUM('Omzet&amp;Prijs'!$C$39:$C$45)-'Omzet&amp;Prijs'!$C$44)*$Q177</f>
        <v>1869.4423765659944</v>
      </c>
      <c r="J177" s="10">
        <f>'Omzet&amp;Prijs'!$C$43/(SUM('Omzet&amp;Prijs'!$C$39:$C$45)-'Omzet&amp;Prijs'!$C$44)*$Q177</f>
        <v>1466.6778605315153</v>
      </c>
      <c r="K177" s="10">
        <f>'Omzet&amp;Prijs'!$C$41/(SUM('Omzet&amp;Prijs'!$C$39:$C$45)-'Omzet&amp;Prijs'!$C$44)*$Q177</f>
        <v>564.00059030114858</v>
      </c>
      <c r="L177" s="10">
        <v>0</v>
      </c>
      <c r="M177" s="10">
        <v>0</v>
      </c>
      <c r="N177" s="10">
        <f>'Omzet&amp;Prijs'!$C$39/(SUM('Omzet&amp;Prijs'!$C$39:$C$45)-'Omzet&amp;Prijs'!$C$44)*$Q177</f>
        <v>2398.6653976594221</v>
      </c>
      <c r="O177" s="10">
        <v>0</v>
      </c>
      <c r="P177" s="10">
        <f>'Omzet&amp;Prijs'!$C$40/(SUM('Omzet&amp;Prijs'!$C$39:$C$45)-'Omzet&amp;Prijs'!$C$44)*$Q177</f>
        <v>858.26777493106363</v>
      </c>
      <c r="Q177" s="3">
        <f t="shared" si="2"/>
        <v>7272.42</v>
      </c>
    </row>
    <row r="178" spans="1:17">
      <c r="A178" t="s">
        <v>132</v>
      </c>
      <c r="B178" t="s">
        <v>132</v>
      </c>
      <c r="C178" t="s">
        <v>154</v>
      </c>
      <c r="D178" t="s">
        <v>155</v>
      </c>
      <c r="E178">
        <v>2015</v>
      </c>
      <c r="F178" s="3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f>Q178</f>
        <v>0</v>
      </c>
      <c r="O178" s="2">
        <v>0</v>
      </c>
      <c r="P178" s="2">
        <v>0</v>
      </c>
      <c r="Q178" s="3">
        <f t="shared" si="2"/>
        <v>0</v>
      </c>
    </row>
    <row r="179" spans="1:17">
      <c r="A179" t="s">
        <v>132</v>
      </c>
      <c r="B179" t="s">
        <v>132</v>
      </c>
      <c r="C179" t="s">
        <v>178</v>
      </c>
      <c r="D179" t="s">
        <v>179</v>
      </c>
      <c r="E179">
        <v>2015</v>
      </c>
      <c r="F179" s="3">
        <v>-11736</v>
      </c>
      <c r="G179" s="2">
        <v>0</v>
      </c>
      <c r="H179" s="2">
        <v>0</v>
      </c>
      <c r="I179" s="2">
        <v>0</v>
      </c>
      <c r="J179" s="2">
        <v>0</v>
      </c>
      <c r="K179" s="2">
        <f>Q179</f>
        <v>11736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3">
        <f t="shared" si="2"/>
        <v>11736</v>
      </c>
    </row>
    <row r="180" spans="1:17">
      <c r="A180" t="s">
        <v>132</v>
      </c>
      <c r="B180" t="s">
        <v>132</v>
      </c>
      <c r="C180" t="s">
        <v>156</v>
      </c>
      <c r="D180" t="s">
        <v>157</v>
      </c>
      <c r="E180">
        <v>2015</v>
      </c>
      <c r="F180" s="3">
        <v>0</v>
      </c>
      <c r="G180" s="14">
        <v>0</v>
      </c>
      <c r="H180" s="14">
        <f>'Omzet&amp;Prijs'!$C$45/SUM('Omzet&amp;Prijs'!$C$39:$C$45)*$Q180</f>
        <v>0</v>
      </c>
      <c r="I180" s="14">
        <f>'Omzet&amp;Prijs'!$C$42/SUM('Omzet&amp;Prijs'!$C$39:$C$45)*$Q180</f>
        <v>0</v>
      </c>
      <c r="J180" s="14">
        <f>'Omzet&amp;Prijs'!$C$43/SUM('Omzet&amp;Prijs'!$C$39:$C$45)*$Q180</f>
        <v>0</v>
      </c>
      <c r="K180" s="14">
        <f>'Omzet&amp;Prijs'!$C$41/SUM('Omzet&amp;Prijs'!$C$39:$C$45)*$Q180</f>
        <v>0</v>
      </c>
      <c r="L180" s="14">
        <v>0</v>
      </c>
      <c r="M180" s="14">
        <v>0</v>
      </c>
      <c r="N180" s="14">
        <f>'Omzet&amp;Prijs'!$C$39/SUM('Omzet&amp;Prijs'!$C$39:$C$45)*$Q180</f>
        <v>0</v>
      </c>
      <c r="O180" s="14">
        <f>'Omzet&amp;Prijs'!$C$44/SUM('Omzet&amp;Prijs'!$C$39:$C$45)*$Q180</f>
        <v>0</v>
      </c>
      <c r="P180" s="14">
        <f>'Omzet&amp;Prijs'!$C$40/SUM('Omzet&amp;Prijs'!$C$39:$C$45)*$Q180</f>
        <v>0</v>
      </c>
      <c r="Q180" s="3">
        <f t="shared" si="2"/>
        <v>0</v>
      </c>
    </row>
    <row r="181" spans="1:17" hidden="1">
      <c r="A181" t="s">
        <v>132</v>
      </c>
      <c r="B181" t="s">
        <v>119</v>
      </c>
      <c r="C181" t="s">
        <v>158</v>
      </c>
      <c r="D181" t="s">
        <v>159</v>
      </c>
      <c r="E181">
        <v>2015</v>
      </c>
      <c r="F181" s="3">
        <v>-5499.31</v>
      </c>
      <c r="G181"/>
      <c r="H181"/>
      <c r="I181"/>
      <c r="J181"/>
      <c r="K181"/>
      <c r="L181"/>
      <c r="M181"/>
      <c r="N181"/>
      <c r="O181"/>
      <c r="P181"/>
      <c r="Q181" s="3">
        <f t="shared" si="2"/>
        <v>5499.31</v>
      </c>
    </row>
    <row r="182" spans="1:17">
      <c r="A182" t="s">
        <v>132</v>
      </c>
      <c r="B182" t="s">
        <v>132</v>
      </c>
      <c r="C182" t="s">
        <v>160</v>
      </c>
      <c r="D182" t="s">
        <v>161</v>
      </c>
      <c r="E182">
        <v>2015</v>
      </c>
      <c r="F182" s="3">
        <f>26749.76+825.54</f>
        <v>27575.3</v>
      </c>
      <c r="G182" s="10">
        <v>0</v>
      </c>
      <c r="H182" s="10">
        <f>'Omzet&amp;Prijs'!$C$45/(SUM('Omzet&amp;Prijs'!$C$39:$C$45)-'Omzet&amp;Prijs'!$C$44)*$Q182</f>
        <v>437.44064013070755</v>
      </c>
      <c r="I182" s="10">
        <f>'Omzet&amp;Prijs'!$C$42/(SUM('Omzet&amp;Prijs'!$C$39:$C$45)-'Omzet&amp;Prijs'!$C$44)*$Q182</f>
        <v>7088.4842138545719</v>
      </c>
      <c r="J182" s="10">
        <f>'Omzet&amp;Prijs'!$C$43/(SUM('Omzet&amp;Prijs'!$C$39:$C$45)-'Omzet&amp;Prijs'!$C$44)*$Q182</f>
        <v>5561.2962407994446</v>
      </c>
      <c r="K182" s="10">
        <f>'Omzet&amp;Prijs'!$C$41/(SUM('Omzet&amp;Prijs'!$C$39:$C$45)-'Omzet&amp;Prijs'!$C$44)*$Q182</f>
        <v>2138.5571072258285</v>
      </c>
      <c r="L182" s="10">
        <v>0</v>
      </c>
      <c r="M182" s="10">
        <v>0</v>
      </c>
      <c r="N182" s="10">
        <f>'Omzet&amp;Prijs'!$C$39/(SUM('Omzet&amp;Prijs'!$C$39:$C$45)-'Omzet&amp;Prijs'!$C$44)*$Q182</f>
        <v>9095.1729878194401</v>
      </c>
      <c r="O182" s="10">
        <v>0</v>
      </c>
      <c r="P182" s="10">
        <f>'Omzet&amp;Prijs'!$C$40/(SUM('Omzet&amp;Prijs'!$C$39:$C$45)-'Omzet&amp;Prijs'!$C$44)*$Q182</f>
        <v>3254.3488101700063</v>
      </c>
      <c r="Q182" s="3">
        <f t="shared" si="2"/>
        <v>27575.3</v>
      </c>
    </row>
    <row r="183" spans="1:17" hidden="1">
      <c r="A183" t="s">
        <v>132</v>
      </c>
      <c r="B183" t="s">
        <v>122</v>
      </c>
      <c r="C183" t="s">
        <v>162</v>
      </c>
      <c r="D183" t="s">
        <v>163</v>
      </c>
      <c r="E183">
        <v>2015</v>
      </c>
      <c r="F183" s="3">
        <v>35</v>
      </c>
      <c r="G183"/>
      <c r="H183"/>
      <c r="I183"/>
      <c r="J183"/>
      <c r="K183"/>
      <c r="L183"/>
      <c r="M183"/>
      <c r="N183"/>
      <c r="O183"/>
      <c r="P183"/>
      <c r="Q183" s="3">
        <f t="shared" si="2"/>
        <v>35</v>
      </c>
    </row>
    <row r="184" spans="1:17">
      <c r="A184" t="s">
        <v>132</v>
      </c>
      <c r="B184" t="s">
        <v>132</v>
      </c>
      <c r="C184" t="s">
        <v>156</v>
      </c>
      <c r="D184" t="s">
        <v>167</v>
      </c>
      <c r="E184">
        <v>2015</v>
      </c>
      <c r="F184" s="3">
        <v>195</v>
      </c>
      <c r="G184" s="14">
        <v>0</v>
      </c>
      <c r="H184" s="14">
        <f>'Omzet&amp;Prijs'!$C$45/SUM('Omzet&amp;Prijs'!$C$39:$C$45)*$Q184</f>
        <v>2.4171383491079212</v>
      </c>
      <c r="I184" s="14">
        <f>'Omzet&amp;Prijs'!$C$42/SUM('Omzet&amp;Prijs'!$C$39:$C$45)*$Q184</f>
        <v>39.168393282422024</v>
      </c>
      <c r="J184" s="14">
        <f>'Omzet&amp;Prijs'!$C$43/SUM('Omzet&amp;Prijs'!$C$39:$C$45)*$Q184</f>
        <v>30.729706344544145</v>
      </c>
      <c r="K184" s="14">
        <f>'Omzet&amp;Prijs'!$C$41/SUM('Omzet&amp;Prijs'!$C$39:$C$45)*$Q184</f>
        <v>11.816891073696979</v>
      </c>
      <c r="L184" s="14">
        <v>0</v>
      </c>
      <c r="M184" s="14">
        <v>0</v>
      </c>
      <c r="N184" s="14">
        <f>'Omzet&amp;Prijs'!$C$39/SUM('Omzet&amp;Prijs'!$C$39:$C$45)*$Q184</f>
        <v>50.256627765677919</v>
      </c>
      <c r="O184" s="14">
        <f>'Omzet&amp;Prijs'!$C$44/SUM('Omzet&amp;Prijs'!$C$39:$C$45)*$Q184</f>
        <v>42.628891777774484</v>
      </c>
      <c r="P184" s="14">
        <f>'Omzet&amp;Prijs'!$C$40/SUM('Omzet&amp;Prijs'!$C$39:$C$45)*$Q184</f>
        <v>17.982351406776534</v>
      </c>
      <c r="Q184" s="3">
        <f t="shared" si="2"/>
        <v>195</v>
      </c>
    </row>
    <row r="185" spans="1:17">
      <c r="A185" t="s">
        <v>132</v>
      </c>
      <c r="B185" t="s">
        <v>132</v>
      </c>
      <c r="C185" t="s">
        <v>165</v>
      </c>
      <c r="D185" t="s">
        <v>165</v>
      </c>
      <c r="E185">
        <v>2015</v>
      </c>
      <c r="F185" s="3">
        <v>150</v>
      </c>
      <c r="G185" s="14">
        <v>0</v>
      </c>
      <c r="H185" s="14">
        <f>'Omzet&amp;Prijs'!$C$45/SUM('Omzet&amp;Prijs'!$C$39:$C$45)*$Q185</f>
        <v>1.8593371916214778</v>
      </c>
      <c r="I185" s="14">
        <f>'Omzet&amp;Prijs'!$C$42/SUM('Omzet&amp;Prijs'!$C$39:$C$45)*$Q185</f>
        <v>30.129533294170788</v>
      </c>
      <c r="J185" s="14">
        <f>'Omzet&amp;Prijs'!$C$43/SUM('Omzet&amp;Prijs'!$C$39:$C$45)*$Q185</f>
        <v>23.638235649649342</v>
      </c>
      <c r="K185" s="14">
        <f>'Omzet&amp;Prijs'!$C$41/SUM('Omzet&amp;Prijs'!$C$39:$C$45)*$Q185</f>
        <v>9.0899162105361384</v>
      </c>
      <c r="L185" s="14">
        <v>0</v>
      </c>
      <c r="M185" s="14">
        <v>0</v>
      </c>
      <c r="N185" s="14">
        <f>'Omzet&amp;Prijs'!$C$39/SUM('Omzet&amp;Prijs'!$C$39:$C$45)*$Q185</f>
        <v>38.65894443513686</v>
      </c>
      <c r="O185" s="14">
        <f>'Omzet&amp;Prijs'!$C$44/SUM('Omzet&amp;Prijs'!$C$39:$C$45)*$Q185</f>
        <v>32.791455213672677</v>
      </c>
      <c r="P185" s="14">
        <f>'Omzet&amp;Prijs'!$C$40/SUM('Omzet&amp;Prijs'!$C$39:$C$45)*$Q185</f>
        <v>13.832578005212719</v>
      </c>
      <c r="Q185" s="3">
        <f t="shared" si="2"/>
        <v>150</v>
      </c>
    </row>
    <row r="186" spans="1:17" hidden="1">
      <c r="A186" t="s">
        <v>132</v>
      </c>
      <c r="B186" t="s">
        <v>122</v>
      </c>
      <c r="C186" t="s">
        <v>166</v>
      </c>
      <c r="D186" t="s">
        <v>166</v>
      </c>
      <c r="E186">
        <v>2015</v>
      </c>
      <c r="F186" s="3">
        <f>367.2+375.42+2028.81-7843.05</f>
        <v>-5071.6200000000008</v>
      </c>
      <c r="G186"/>
      <c r="H186"/>
      <c r="I186"/>
      <c r="J186"/>
      <c r="K186"/>
      <c r="L186"/>
      <c r="M186"/>
      <c r="N186"/>
      <c r="O186"/>
      <c r="P186"/>
      <c r="Q186" s="3">
        <f t="shared" si="2"/>
        <v>5071.6200000000008</v>
      </c>
    </row>
    <row r="187" spans="1:17">
      <c r="A187" t="s">
        <v>132</v>
      </c>
      <c r="B187" t="s">
        <v>132</v>
      </c>
      <c r="C187" t="s">
        <v>168</v>
      </c>
      <c r="D187" t="s">
        <v>169</v>
      </c>
      <c r="E187">
        <v>2015</v>
      </c>
      <c r="F187" s="3">
        <v>8005.68</v>
      </c>
      <c r="G187" s="14">
        <v>0</v>
      </c>
      <c r="H187" s="14">
        <f>'Omzet&amp;Prijs'!$C$45/SUM('Omzet&amp;Prijs'!$C$39:$C$45)*$Q187</f>
        <v>99.235057121468216</v>
      </c>
      <c r="I187" s="14">
        <f>'Omzet&amp;Prijs'!$C$42/SUM('Omzet&amp;Prijs'!$C$39:$C$45)*$Q187</f>
        <v>1608.0493473498479</v>
      </c>
      <c r="J187" s="14">
        <f>'Omzet&amp;Prijs'!$C$43/SUM('Omzet&amp;Prijs'!$C$39:$C$45)*$Q187</f>
        <v>1261.601002504565</v>
      </c>
      <c r="K187" s="14">
        <f>'Omzet&amp;Prijs'!$C$41/SUM('Omzet&amp;Prijs'!$C$39:$C$45)*$Q187</f>
        <v>485.13973605576638</v>
      </c>
      <c r="L187" s="14">
        <v>0</v>
      </c>
      <c r="M187" s="14">
        <v>0</v>
      </c>
      <c r="N187" s="14">
        <f>'Omzet&amp;Prijs'!$C$39/SUM('Omzet&amp;Prijs'!$C$39:$C$45)*$Q187</f>
        <v>2063.2742552365767</v>
      </c>
      <c r="O187" s="14">
        <f>'Omzet&amp;Prijs'!$C$44/SUM('Omzet&amp;Prijs'!$C$39:$C$45)*$Q187</f>
        <v>1750.1193144999672</v>
      </c>
      <c r="P187" s="14">
        <f>'Omzet&amp;Prijs'!$C$40/SUM('Omzet&amp;Prijs'!$C$39:$C$45)*$Q187</f>
        <v>738.26128723180909</v>
      </c>
      <c r="Q187" s="3">
        <f t="shared" si="2"/>
        <v>8005.68</v>
      </c>
    </row>
    <row r="188" spans="1:17">
      <c r="A188" t="s">
        <v>132</v>
      </c>
      <c r="B188" t="s">
        <v>132</v>
      </c>
      <c r="C188" t="s">
        <v>156</v>
      </c>
      <c r="D188" t="s">
        <v>170</v>
      </c>
      <c r="E188">
        <v>2015</v>
      </c>
      <c r="F188" s="3">
        <v>100</v>
      </c>
      <c r="G188" s="14">
        <v>0</v>
      </c>
      <c r="H188" s="14">
        <f>'Omzet&amp;Prijs'!$C$45/SUM('Omzet&amp;Prijs'!$C$39:$C$45)*$Q188</f>
        <v>1.2395581277476519</v>
      </c>
      <c r="I188" s="14">
        <f>'Omzet&amp;Prijs'!$C$42/SUM('Omzet&amp;Prijs'!$C$39:$C$45)*$Q188</f>
        <v>20.086355529447193</v>
      </c>
      <c r="J188" s="14">
        <f>'Omzet&amp;Prijs'!$C$43/SUM('Omzet&amp;Prijs'!$C$39:$C$45)*$Q188</f>
        <v>15.758823766432894</v>
      </c>
      <c r="K188" s="14">
        <f>'Omzet&amp;Prijs'!$C$41/SUM('Omzet&amp;Prijs'!$C$39:$C$45)*$Q188</f>
        <v>6.059944140357425</v>
      </c>
      <c r="L188" s="14">
        <v>0</v>
      </c>
      <c r="M188" s="14">
        <v>0</v>
      </c>
      <c r="N188" s="14">
        <f>'Omzet&amp;Prijs'!$C$39/SUM('Omzet&amp;Prijs'!$C$39:$C$45)*$Q188</f>
        <v>25.772629623424574</v>
      </c>
      <c r="O188" s="14">
        <f>'Omzet&amp;Prijs'!$C$44/SUM('Omzet&amp;Prijs'!$C$39:$C$45)*$Q188</f>
        <v>21.860970142448451</v>
      </c>
      <c r="P188" s="14">
        <f>'Omzet&amp;Prijs'!$C$40/SUM('Omzet&amp;Prijs'!$C$39:$C$45)*$Q188</f>
        <v>9.2217186701418132</v>
      </c>
      <c r="Q188" s="3">
        <f t="shared" si="2"/>
        <v>100</v>
      </c>
    </row>
    <row r="189" spans="1:17">
      <c r="A189" t="s">
        <v>132</v>
      </c>
      <c r="B189" t="s">
        <v>132</v>
      </c>
      <c r="C189" t="s">
        <v>171</v>
      </c>
      <c r="D189" t="s">
        <v>172</v>
      </c>
      <c r="E189">
        <v>2015</v>
      </c>
      <c r="F189" s="3">
        <v>8240.7900000000009</v>
      </c>
      <c r="G189" s="14">
        <v>0</v>
      </c>
      <c r="H189" s="14">
        <f>'Omzet&amp;Prijs'!$C$45/SUM('Omzet&amp;Prijs'!$C$39:$C$45)*$Q189</f>
        <v>102.14938223561573</v>
      </c>
      <c r="I189" s="14">
        <f>'Omzet&amp;Prijs'!$C$42/SUM('Omzet&amp;Prijs'!$C$39:$C$45)*$Q189</f>
        <v>1655.2743778351314</v>
      </c>
      <c r="J189" s="14">
        <f>'Omzet&amp;Prijs'!$C$43/SUM('Omzet&amp;Prijs'!$C$39:$C$45)*$Q189</f>
        <v>1298.6515730618255</v>
      </c>
      <c r="K189" s="14">
        <f>'Omzet&amp;Prijs'!$C$41/SUM('Omzet&amp;Prijs'!$C$39:$C$45)*$Q189</f>
        <v>499.38727072416071</v>
      </c>
      <c r="L189" s="14">
        <v>0</v>
      </c>
      <c r="M189" s="14">
        <v>0</v>
      </c>
      <c r="N189" s="14">
        <f>'Omzet&amp;Prijs'!$C$39/SUM('Omzet&amp;Prijs'!$C$39:$C$45)*$Q189</f>
        <v>2123.8682847442101</v>
      </c>
      <c r="O189" s="14">
        <f>'Omzet&amp;Prijs'!$C$44/SUM('Omzet&amp;Prijs'!$C$39:$C$45)*$Q189</f>
        <v>1801.5166414018779</v>
      </c>
      <c r="P189" s="14">
        <f>'Omzet&amp;Prijs'!$C$40/SUM('Omzet&amp;Prijs'!$C$39:$C$45)*$Q189</f>
        <v>759.9424699971795</v>
      </c>
      <c r="Q189" s="3">
        <f t="shared" si="2"/>
        <v>8240.7900000000009</v>
      </c>
    </row>
    <row r="190" spans="1:17" hidden="1">
      <c r="A190" t="s">
        <v>118</v>
      </c>
      <c r="B190" t="s">
        <v>122</v>
      </c>
      <c r="C190" t="s">
        <v>154</v>
      </c>
      <c r="D190" t="s">
        <v>173</v>
      </c>
      <c r="E190">
        <v>2015</v>
      </c>
      <c r="F190" s="3">
        <v>607.69000000000005</v>
      </c>
      <c r="G190"/>
      <c r="H190"/>
      <c r="I190"/>
      <c r="J190"/>
      <c r="K190"/>
      <c r="L190"/>
      <c r="M190"/>
      <c r="N190"/>
      <c r="O190"/>
      <c r="P190"/>
      <c r="Q190" s="3">
        <f t="shared" si="2"/>
        <v>607.69000000000005</v>
      </c>
    </row>
    <row r="191" spans="1:17" hidden="1">
      <c r="A191" t="s">
        <v>132</v>
      </c>
      <c r="B191" t="s">
        <v>122</v>
      </c>
      <c r="C191" t="s">
        <v>174</v>
      </c>
      <c r="D191" t="s">
        <v>175</v>
      </c>
      <c r="E191">
        <v>2015</v>
      </c>
      <c r="F191" s="3">
        <v>1004</v>
      </c>
      <c r="G191"/>
      <c r="H191"/>
      <c r="I191"/>
      <c r="J191"/>
      <c r="K191"/>
      <c r="L191"/>
      <c r="M191"/>
      <c r="N191"/>
      <c r="O191"/>
      <c r="P191"/>
      <c r="Q191" s="3">
        <f t="shared" si="2"/>
        <v>1004</v>
      </c>
    </row>
    <row r="192" spans="1:17" ht="14.45" thickBot="1">
      <c r="A192" s="11" t="s">
        <v>132</v>
      </c>
      <c r="B192" s="11" t="s">
        <v>132</v>
      </c>
      <c r="C192" s="11" t="s">
        <v>176</v>
      </c>
      <c r="D192" s="11" t="s">
        <v>177</v>
      </c>
      <c r="E192" s="11">
        <v>2015</v>
      </c>
      <c r="F192" s="12">
        <v>1050</v>
      </c>
      <c r="G192" s="15">
        <v>0</v>
      </c>
      <c r="H192" s="15">
        <f>'Omzet&amp;Prijs'!$C$45/SUM('Omzet&amp;Prijs'!$C$39:$C$45)*$Q192</f>
        <v>13.015360341350345</v>
      </c>
      <c r="I192" s="15">
        <f>'Omzet&amp;Prijs'!$C$42/SUM('Omzet&amp;Prijs'!$C$39:$C$45)*$Q192</f>
        <v>210.90673305919552</v>
      </c>
      <c r="J192" s="15">
        <f>'Omzet&amp;Prijs'!$C$43/SUM('Omzet&amp;Prijs'!$C$39:$C$45)*$Q192</f>
        <v>165.46764954754539</v>
      </c>
      <c r="K192" s="15">
        <f>'Omzet&amp;Prijs'!$C$41/SUM('Omzet&amp;Prijs'!$C$39:$C$45)*$Q192</f>
        <v>63.629413473752969</v>
      </c>
      <c r="L192" s="15">
        <v>0</v>
      </c>
      <c r="M192" s="15">
        <v>0</v>
      </c>
      <c r="N192" s="15">
        <f>'Omzet&amp;Prijs'!$C$39/SUM('Omzet&amp;Prijs'!$C$39:$C$45)*$Q192</f>
        <v>270.61261104595803</v>
      </c>
      <c r="O192" s="15">
        <f>'Omzet&amp;Prijs'!$C$44/SUM('Omzet&amp;Prijs'!$C$39:$C$45)*$Q192</f>
        <v>229.54018649570875</v>
      </c>
      <c r="P192" s="15">
        <f>'Omzet&amp;Prijs'!$C$40/SUM('Omzet&amp;Prijs'!$C$39:$C$45)*$Q192</f>
        <v>96.828046036489027</v>
      </c>
      <c r="Q192" s="12">
        <f t="shared" si="2"/>
        <v>1050</v>
      </c>
    </row>
    <row r="193" spans="1:17" hidden="1">
      <c r="A193" t="s">
        <v>118</v>
      </c>
      <c r="B193" t="s">
        <v>119</v>
      </c>
      <c r="C193" t="s">
        <v>120</v>
      </c>
      <c r="D193" t="s">
        <v>121</v>
      </c>
      <c r="E193">
        <v>2016</v>
      </c>
      <c r="F193" s="3">
        <v>-281111.21000000002</v>
      </c>
      <c r="G193"/>
      <c r="H193"/>
      <c r="I193"/>
      <c r="J193"/>
      <c r="K193"/>
      <c r="L193"/>
      <c r="M193"/>
      <c r="N193"/>
      <c r="O193"/>
      <c r="P193"/>
      <c r="Q193" s="3">
        <f t="shared" si="2"/>
        <v>281111.21000000002</v>
      </c>
    </row>
    <row r="194" spans="1:17" hidden="1">
      <c r="A194" t="s">
        <v>118</v>
      </c>
      <c r="B194" t="s">
        <v>122</v>
      </c>
      <c r="C194" t="s">
        <v>123</v>
      </c>
      <c r="D194" t="s">
        <v>124</v>
      </c>
      <c r="E194">
        <v>2016</v>
      </c>
      <c r="F194" s="3">
        <v>-18250.54</v>
      </c>
      <c r="G194"/>
      <c r="H194"/>
      <c r="I194"/>
      <c r="J194"/>
      <c r="K194"/>
      <c r="L194"/>
      <c r="M194"/>
      <c r="N194"/>
      <c r="O194"/>
      <c r="P194"/>
      <c r="Q194" s="3">
        <f t="shared" ref="Q194:Q257" si="3">IF(F194&lt;0,F194*-1,F194)</f>
        <v>18250.54</v>
      </c>
    </row>
    <row r="195" spans="1:17" hidden="1">
      <c r="A195" t="s">
        <v>118</v>
      </c>
      <c r="B195" t="s">
        <v>122</v>
      </c>
      <c r="C195" t="s">
        <v>123</v>
      </c>
      <c r="D195" t="s">
        <v>125</v>
      </c>
      <c r="E195">
        <v>2016</v>
      </c>
      <c r="F195" s="3">
        <v>-11.85</v>
      </c>
      <c r="G195"/>
      <c r="H195"/>
      <c r="I195"/>
      <c r="J195"/>
      <c r="K195"/>
      <c r="L195"/>
      <c r="M195"/>
      <c r="N195"/>
      <c r="O195"/>
      <c r="P195"/>
      <c r="Q195" s="3">
        <f t="shared" si="3"/>
        <v>11.85</v>
      </c>
    </row>
    <row r="196" spans="1:17" hidden="1">
      <c r="A196" t="s">
        <v>118</v>
      </c>
      <c r="B196" t="s">
        <v>122</v>
      </c>
      <c r="C196" t="s">
        <v>123</v>
      </c>
      <c r="D196" t="s">
        <v>126</v>
      </c>
      <c r="E196">
        <v>2016</v>
      </c>
      <c r="F196" s="3">
        <v>0</v>
      </c>
      <c r="G196"/>
      <c r="H196"/>
      <c r="I196"/>
      <c r="J196"/>
      <c r="K196"/>
      <c r="L196"/>
      <c r="M196"/>
      <c r="N196"/>
      <c r="O196"/>
      <c r="P196"/>
      <c r="Q196" s="3">
        <f t="shared" si="3"/>
        <v>0</v>
      </c>
    </row>
    <row r="197" spans="1:17" hidden="1">
      <c r="A197" t="s">
        <v>118</v>
      </c>
      <c r="B197" t="s">
        <v>122</v>
      </c>
      <c r="C197" t="s">
        <v>127</v>
      </c>
      <c r="D197" t="s">
        <v>128</v>
      </c>
      <c r="E197">
        <v>2016</v>
      </c>
      <c r="F197" s="3">
        <v>0</v>
      </c>
      <c r="G197"/>
      <c r="H197"/>
      <c r="I197"/>
      <c r="J197"/>
      <c r="K197"/>
      <c r="L197"/>
      <c r="M197"/>
      <c r="N197"/>
      <c r="O197"/>
      <c r="P197"/>
      <c r="Q197" s="3">
        <f t="shared" si="3"/>
        <v>0</v>
      </c>
    </row>
    <row r="198" spans="1:17" hidden="1">
      <c r="A198" t="s">
        <v>118</v>
      </c>
      <c r="B198" t="s">
        <v>122</v>
      </c>
      <c r="C198" t="s">
        <v>129</v>
      </c>
      <c r="D198" t="s">
        <v>130</v>
      </c>
      <c r="E198">
        <v>2016</v>
      </c>
      <c r="F198" s="3">
        <v>0</v>
      </c>
      <c r="G198"/>
      <c r="H198"/>
      <c r="I198"/>
      <c r="J198"/>
      <c r="K198"/>
      <c r="L198"/>
      <c r="M198"/>
      <c r="N198"/>
      <c r="O198"/>
      <c r="P198"/>
      <c r="Q198" s="3">
        <f t="shared" si="3"/>
        <v>0</v>
      </c>
    </row>
    <row r="199" spans="1:17" hidden="1">
      <c r="A199" t="s">
        <v>118</v>
      </c>
      <c r="B199" t="s">
        <v>122</v>
      </c>
      <c r="C199" t="s">
        <v>129</v>
      </c>
      <c r="D199" t="s">
        <v>131</v>
      </c>
      <c r="E199">
        <v>2016</v>
      </c>
      <c r="F199" s="3">
        <v>-13.61</v>
      </c>
      <c r="G199"/>
      <c r="H199"/>
      <c r="I199"/>
      <c r="J199"/>
      <c r="K199"/>
      <c r="L199"/>
      <c r="M199"/>
      <c r="N199"/>
      <c r="O199"/>
      <c r="P199"/>
      <c r="Q199" s="3">
        <f t="shared" si="3"/>
        <v>13.61</v>
      </c>
    </row>
    <row r="200" spans="1:17">
      <c r="A200" t="s">
        <v>118</v>
      </c>
      <c r="B200" t="s">
        <v>132</v>
      </c>
      <c r="C200" t="s">
        <v>133</v>
      </c>
      <c r="D200" t="s">
        <v>133</v>
      </c>
      <c r="E200">
        <v>2016</v>
      </c>
      <c r="F200" s="3">
        <v>2581.16</v>
      </c>
      <c r="G200" s="14">
        <v>0</v>
      </c>
      <c r="H200" s="14">
        <v>0</v>
      </c>
      <c r="I200" s="14">
        <f>'Omzet&amp;Prijs'!$C$49/SUM('Omzet&amp;Prijs'!$C$46:$C$51)*$Q200</f>
        <v>512.54231381832949</v>
      </c>
      <c r="J200" s="14">
        <f>'Omzet&amp;Prijs'!$C$50/SUM('Omzet&amp;Prijs'!$C$46:$C$51)*$Q200</f>
        <v>302.19984239196589</v>
      </c>
      <c r="K200" s="14">
        <f>'Omzet&amp;Prijs'!$C$48/SUM('Omzet&amp;Prijs'!$C$46:$C$51)*$Q200</f>
        <v>346.68647199530619</v>
      </c>
      <c r="L200" s="14">
        <v>0</v>
      </c>
      <c r="M200" s="14">
        <v>0</v>
      </c>
      <c r="N200" s="14">
        <f>'Omzet&amp;Prijs'!$C$46/SUM('Omzet&amp;Prijs'!$C$46:$C$51)*$Q200</f>
        <v>547.3493419002956</v>
      </c>
      <c r="O200" s="14">
        <f>'Omzet&amp;Prijs'!$C$51/SUM('Omzet&amp;Prijs'!$C$46:$C$51)*$Q200</f>
        <v>759.18858613667476</v>
      </c>
      <c r="P200" s="14">
        <f>'Omzet&amp;Prijs'!$C$47/SUM('Omzet&amp;Prijs'!$C$46:$C$51)*$Q200</f>
        <v>113.19344375742804</v>
      </c>
      <c r="Q200" s="3">
        <f t="shared" si="3"/>
        <v>2581.16</v>
      </c>
    </row>
    <row r="201" spans="1:17">
      <c r="A201" t="s">
        <v>118</v>
      </c>
      <c r="B201" t="s">
        <v>132</v>
      </c>
      <c r="C201" t="s">
        <v>134</v>
      </c>
      <c r="D201" t="s">
        <v>135</v>
      </c>
      <c r="E201">
        <v>2016</v>
      </c>
      <c r="F201" s="3">
        <f>4537.89+4764.75+1626.64</f>
        <v>10929.279999999999</v>
      </c>
      <c r="G201" s="14">
        <v>0</v>
      </c>
      <c r="H201" s="14">
        <v>0</v>
      </c>
      <c r="I201" s="14">
        <f>'Omzet&amp;Prijs'!$C$49/SUM('Omzet&amp;Prijs'!$C$46:$C$51)*$Q201</f>
        <v>2170.2329416109005</v>
      </c>
      <c r="J201" s="14">
        <f>'Omzet&amp;Prijs'!$C$50/SUM('Omzet&amp;Prijs'!$C$46:$C$51)*$Q201</f>
        <v>1279.5900654967784</v>
      </c>
      <c r="K201" s="14">
        <f>'Omzet&amp;Prijs'!$C$48/SUM('Omzet&amp;Prijs'!$C$46:$C$51)*$Q201</f>
        <v>1467.9576332535992</v>
      </c>
      <c r="L201" s="14">
        <v>0</v>
      </c>
      <c r="M201" s="14">
        <v>0</v>
      </c>
      <c r="N201" s="14">
        <f>'Omzet&amp;Prijs'!$C$46/SUM('Omzet&amp;Prijs'!$C$46:$C$51)*$Q201</f>
        <v>2317.6146443630237</v>
      </c>
      <c r="O201" s="14">
        <f>'Omzet&amp;Prijs'!$C$51/SUM('Omzet&amp;Prijs'!$C$46:$C$51)*$Q201</f>
        <v>3214.5952326441738</v>
      </c>
      <c r="P201" s="14">
        <f>'Omzet&amp;Prijs'!$C$47/SUM('Omzet&amp;Prijs'!$C$46:$C$51)*$Q201</f>
        <v>479.28948263152347</v>
      </c>
      <c r="Q201" s="3">
        <f t="shared" si="3"/>
        <v>10929.279999999999</v>
      </c>
    </row>
    <row r="202" spans="1:17">
      <c r="A202" t="s">
        <v>118</v>
      </c>
      <c r="B202" t="s">
        <v>132</v>
      </c>
      <c r="C202" t="s">
        <v>136</v>
      </c>
      <c r="D202" t="s">
        <v>137</v>
      </c>
      <c r="E202">
        <v>2016</v>
      </c>
      <c r="F202" s="3">
        <v>1860.63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f>Q202</f>
        <v>1860.63</v>
      </c>
      <c r="O202" s="2">
        <v>0</v>
      </c>
      <c r="P202" s="2">
        <v>0</v>
      </c>
      <c r="Q202" s="3">
        <f t="shared" si="3"/>
        <v>1860.63</v>
      </c>
    </row>
    <row r="203" spans="1:17">
      <c r="A203" t="s">
        <v>118</v>
      </c>
      <c r="B203" t="s">
        <v>132</v>
      </c>
      <c r="C203" t="s">
        <v>180</v>
      </c>
      <c r="D203" t="s">
        <v>181</v>
      </c>
      <c r="E203">
        <v>2016</v>
      </c>
      <c r="F203" s="3">
        <v>2806.84</v>
      </c>
      <c r="G203" s="14">
        <v>0</v>
      </c>
      <c r="H203" s="14">
        <v>0</v>
      </c>
      <c r="I203" s="14">
        <f>'Omzet&amp;Prijs'!$C$49/SUM('Omzet&amp;Prijs'!$C$46:$C$51)*$Q203</f>
        <v>557.35571143123252</v>
      </c>
      <c r="J203" s="14">
        <f>'Omzet&amp;Prijs'!$C$50/SUM('Omzet&amp;Prijs'!$C$46:$C$51)*$Q203</f>
        <v>328.62224953875995</v>
      </c>
      <c r="K203" s="14">
        <f>'Omzet&amp;Prijs'!$C$48/SUM('Omzet&amp;Prijs'!$C$46:$C$51)*$Q203</f>
        <v>376.99850340750106</v>
      </c>
      <c r="L203" s="14">
        <v>0</v>
      </c>
      <c r="M203" s="14">
        <v>0</v>
      </c>
      <c r="N203" s="14">
        <f>'Omzet&amp;Prijs'!$C$46/SUM('Omzet&amp;Prijs'!$C$46:$C$51)*$Q203</f>
        <v>595.20604178719088</v>
      </c>
      <c r="O203" s="14">
        <f>'Omzet&amp;Prijs'!$C$51/SUM('Omzet&amp;Prijs'!$C$46:$C$51)*$Q203</f>
        <v>825.56714466048766</v>
      </c>
      <c r="P203" s="14">
        <f>'Omzet&amp;Prijs'!$C$47/SUM('Omzet&amp;Prijs'!$C$46:$C$51)*$Q203</f>
        <v>123.09034917482812</v>
      </c>
      <c r="Q203" s="3">
        <f t="shared" si="3"/>
        <v>2806.84</v>
      </c>
    </row>
    <row r="204" spans="1:17">
      <c r="A204" t="s">
        <v>118</v>
      </c>
      <c r="B204" t="s">
        <v>132</v>
      </c>
      <c r="C204" t="s">
        <v>182</v>
      </c>
      <c r="D204" t="s">
        <v>183</v>
      </c>
      <c r="E204">
        <v>2016</v>
      </c>
      <c r="F204" s="3">
        <v>4263.93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f>Q204</f>
        <v>4263.93</v>
      </c>
      <c r="O204" s="2">
        <v>0</v>
      </c>
      <c r="P204" s="2">
        <v>0</v>
      </c>
      <c r="Q204" s="3">
        <f t="shared" si="3"/>
        <v>4263.93</v>
      </c>
    </row>
    <row r="205" spans="1:17">
      <c r="A205" t="s">
        <v>118</v>
      </c>
      <c r="B205" t="s">
        <v>132</v>
      </c>
      <c r="C205" t="s">
        <v>184</v>
      </c>
      <c r="D205" t="s">
        <v>185</v>
      </c>
      <c r="E205">
        <v>2016</v>
      </c>
      <c r="F205" s="3">
        <v>935.68</v>
      </c>
      <c r="G205" s="14">
        <v>0</v>
      </c>
      <c r="H205" s="14">
        <v>0</v>
      </c>
      <c r="I205" s="14">
        <f>'Omzet&amp;Prijs'!$C$49/SUM('Omzet&amp;Prijs'!$C$46:$C$51)*$Q205</f>
        <v>185.7984751791964</v>
      </c>
      <c r="J205" s="14">
        <f>'Omzet&amp;Prijs'!$C$50/SUM('Omzet&amp;Prijs'!$C$46:$C$51)*$Q205</f>
        <v>109.54855511836331</v>
      </c>
      <c r="K205" s="14">
        <f>'Omzet&amp;Prijs'!$C$48/SUM('Omzet&amp;Prijs'!$C$46:$C$51)*$Q205</f>
        <v>125.67512208331452</v>
      </c>
      <c r="L205" s="14">
        <v>0</v>
      </c>
      <c r="M205" s="14">
        <v>0</v>
      </c>
      <c r="N205" s="14">
        <f>'Omzet&amp;Prijs'!$C$46/SUM('Omzet&amp;Prijs'!$C$46:$C$51)*$Q205</f>
        <v>198.41615096672371</v>
      </c>
      <c r="O205" s="14">
        <f>'Omzet&amp;Prijs'!$C$51/SUM('Omzet&amp;Prijs'!$C$46:$C$51)*$Q205</f>
        <v>275.20865668008332</v>
      </c>
      <c r="P205" s="14">
        <f>'Omzet&amp;Prijs'!$C$47/SUM('Omzet&amp;Prijs'!$C$46:$C$51)*$Q205</f>
        <v>41.033039972318754</v>
      </c>
      <c r="Q205" s="3">
        <f t="shared" si="3"/>
        <v>935.68</v>
      </c>
    </row>
    <row r="206" spans="1:17">
      <c r="A206" t="s">
        <v>118</v>
      </c>
      <c r="B206" t="s">
        <v>132</v>
      </c>
      <c r="C206" t="s">
        <v>138</v>
      </c>
      <c r="D206" t="s">
        <v>139</v>
      </c>
      <c r="E206">
        <v>2016</v>
      </c>
      <c r="F206" s="3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f>Q206</f>
        <v>0</v>
      </c>
      <c r="O206" s="2">
        <v>0</v>
      </c>
      <c r="P206" s="2">
        <v>0</v>
      </c>
      <c r="Q206" s="3">
        <f t="shared" si="3"/>
        <v>0</v>
      </c>
    </row>
    <row r="207" spans="1:17">
      <c r="A207" t="s">
        <v>118</v>
      </c>
      <c r="B207" t="s">
        <v>132</v>
      </c>
      <c r="C207" t="s">
        <v>140</v>
      </c>
      <c r="D207" t="s">
        <v>141</v>
      </c>
      <c r="E207">
        <v>2016</v>
      </c>
      <c r="F207" s="3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f>Q207</f>
        <v>0</v>
      </c>
      <c r="O207" s="2">
        <v>0</v>
      </c>
      <c r="P207" s="2">
        <v>0</v>
      </c>
      <c r="Q207" s="3">
        <f t="shared" si="3"/>
        <v>0</v>
      </c>
    </row>
    <row r="208" spans="1:17" hidden="1">
      <c r="A208" t="s">
        <v>123</v>
      </c>
      <c r="B208" t="s">
        <v>122</v>
      </c>
      <c r="C208" t="s">
        <v>123</v>
      </c>
      <c r="D208" t="s">
        <v>142</v>
      </c>
      <c r="E208">
        <v>2016</v>
      </c>
      <c r="F208" s="3">
        <v>0</v>
      </c>
      <c r="G208"/>
      <c r="H208"/>
      <c r="I208"/>
      <c r="J208"/>
      <c r="K208"/>
      <c r="L208"/>
      <c r="M208"/>
      <c r="N208"/>
      <c r="O208"/>
      <c r="P208"/>
      <c r="Q208" s="3">
        <f t="shared" si="3"/>
        <v>0</v>
      </c>
    </row>
    <row r="209" spans="1:17" hidden="1">
      <c r="A209" t="s">
        <v>132</v>
      </c>
      <c r="B209" t="s">
        <v>122</v>
      </c>
      <c r="C209" t="s">
        <v>143</v>
      </c>
      <c r="D209" t="s">
        <v>143</v>
      </c>
      <c r="E209">
        <v>2016</v>
      </c>
      <c r="F209" s="3">
        <v>0</v>
      </c>
      <c r="G209"/>
      <c r="H209"/>
      <c r="I209"/>
      <c r="J209"/>
      <c r="K209"/>
      <c r="L209"/>
      <c r="M209"/>
      <c r="N209"/>
      <c r="O209"/>
      <c r="P209"/>
      <c r="Q209" s="3">
        <f t="shared" si="3"/>
        <v>0</v>
      </c>
    </row>
    <row r="210" spans="1:17">
      <c r="A210" t="s">
        <v>132</v>
      </c>
      <c r="B210" t="s">
        <v>132</v>
      </c>
      <c r="C210" t="s">
        <v>144</v>
      </c>
      <c r="D210" t="s">
        <v>145</v>
      </c>
      <c r="E210">
        <v>2016</v>
      </c>
      <c r="F210" s="3">
        <v>0</v>
      </c>
      <c r="G210" s="14">
        <v>0</v>
      </c>
      <c r="H210" s="14">
        <v>0</v>
      </c>
      <c r="I210" s="14">
        <f>'Omzet&amp;Prijs'!$C$49/SUM('Omzet&amp;Prijs'!$C$46:$C$51)*$Q210</f>
        <v>0</v>
      </c>
      <c r="J210" s="14">
        <f>'Omzet&amp;Prijs'!$C$50/SUM('Omzet&amp;Prijs'!$C$46:$C$51)*$Q210</f>
        <v>0</v>
      </c>
      <c r="K210" s="14">
        <f>'Omzet&amp;Prijs'!$C$48/SUM('Omzet&amp;Prijs'!$C$46:$C$51)*$Q210</f>
        <v>0</v>
      </c>
      <c r="L210" s="14">
        <v>0</v>
      </c>
      <c r="M210" s="14">
        <v>0</v>
      </c>
      <c r="N210" s="14">
        <f>'Omzet&amp;Prijs'!$C$46/SUM('Omzet&amp;Prijs'!$C$46:$C$51)*$Q210</f>
        <v>0</v>
      </c>
      <c r="O210" s="14">
        <f>'Omzet&amp;Prijs'!$C$51/SUM('Omzet&amp;Prijs'!$C$46:$C$51)*$Q210</f>
        <v>0</v>
      </c>
      <c r="P210" s="14">
        <f>'Omzet&amp;Prijs'!$C$47/SUM('Omzet&amp;Prijs'!$C$46:$C$51)*$Q210</f>
        <v>0</v>
      </c>
      <c r="Q210" s="3">
        <f t="shared" si="3"/>
        <v>0</v>
      </c>
    </row>
    <row r="211" spans="1:17">
      <c r="A211" t="s">
        <v>132</v>
      </c>
      <c r="B211" t="s">
        <v>132</v>
      </c>
      <c r="C211" t="s">
        <v>144</v>
      </c>
      <c r="D211" t="s">
        <v>146</v>
      </c>
      <c r="E211">
        <v>2016</v>
      </c>
      <c r="F211" s="3">
        <v>47.46</v>
      </c>
      <c r="G211" s="14">
        <v>0</v>
      </c>
      <c r="H211" s="14">
        <v>0</v>
      </c>
      <c r="I211" s="14">
        <f>'Omzet&amp;Prijs'!$C$49/SUM('Omzet&amp;Prijs'!$C$46:$C$51)*$Q211</f>
        <v>9.4241574384454747</v>
      </c>
      <c r="J211" s="14">
        <f>'Omzet&amp;Prijs'!$C$50/SUM('Omzet&amp;Prijs'!$C$46:$C$51)*$Q211</f>
        <v>5.556573215113632</v>
      </c>
      <c r="K211" s="14">
        <f>'Omzet&amp;Prijs'!$C$48/SUM('Omzet&amp;Prijs'!$C$46:$C$51)*$Q211</f>
        <v>6.3745525116216095</v>
      </c>
      <c r="L211" s="14">
        <v>0</v>
      </c>
      <c r="M211" s="14">
        <v>0</v>
      </c>
      <c r="N211" s="14">
        <f>'Omzet&amp;Prijs'!$C$46/SUM('Omzet&amp;Prijs'!$C$46:$C$51)*$Q211</f>
        <v>10.064157110209374</v>
      </c>
      <c r="O211" s="14">
        <f>'Omzet&amp;Prijs'!$C$51/SUM('Omzet&amp;Prijs'!$C$46:$C$51)*$Q211</f>
        <v>13.959262617600841</v>
      </c>
      <c r="P211" s="14">
        <f>'Omzet&amp;Prijs'!$C$47/SUM('Omzet&amp;Prijs'!$C$46:$C$51)*$Q211</f>
        <v>2.0812971070090716</v>
      </c>
      <c r="Q211" s="3">
        <f t="shared" si="3"/>
        <v>47.46</v>
      </c>
    </row>
    <row r="212" spans="1:17">
      <c r="A212" t="s">
        <v>132</v>
      </c>
      <c r="B212" t="s">
        <v>132</v>
      </c>
      <c r="C212" t="s">
        <v>147</v>
      </c>
      <c r="D212" t="s">
        <v>148</v>
      </c>
      <c r="E212">
        <v>2016</v>
      </c>
      <c r="F212" s="3">
        <v>0</v>
      </c>
      <c r="G212" s="14">
        <v>0</v>
      </c>
      <c r="H212" s="14">
        <v>0</v>
      </c>
      <c r="I212" s="14">
        <f>'Omzet&amp;Prijs'!$C$49/SUM('Omzet&amp;Prijs'!$C$46:$C$51)*$Q212</f>
        <v>0</v>
      </c>
      <c r="J212" s="14">
        <f>'Omzet&amp;Prijs'!$C$50/SUM('Omzet&amp;Prijs'!$C$46:$C$51)*$Q212</f>
        <v>0</v>
      </c>
      <c r="K212" s="14">
        <f>'Omzet&amp;Prijs'!$C$48/SUM('Omzet&amp;Prijs'!$C$46:$C$51)*$Q212</f>
        <v>0</v>
      </c>
      <c r="L212" s="14">
        <v>0</v>
      </c>
      <c r="M212" s="14">
        <v>0</v>
      </c>
      <c r="N212" s="14">
        <f>'Omzet&amp;Prijs'!$C$46/SUM('Omzet&amp;Prijs'!$C$46:$C$51)*$Q212</f>
        <v>0</v>
      </c>
      <c r="O212" s="14">
        <f>'Omzet&amp;Prijs'!$C$51/SUM('Omzet&amp;Prijs'!$C$46:$C$51)*$Q212</f>
        <v>0</v>
      </c>
      <c r="P212" s="14">
        <f>'Omzet&amp;Prijs'!$C$47/SUM('Omzet&amp;Prijs'!$C$46:$C$51)*$Q212</f>
        <v>0</v>
      </c>
      <c r="Q212" s="3">
        <f t="shared" si="3"/>
        <v>0</v>
      </c>
    </row>
    <row r="213" spans="1:17">
      <c r="A213" t="s">
        <v>132</v>
      </c>
      <c r="B213" t="s">
        <v>132</v>
      </c>
      <c r="C213" t="s">
        <v>149</v>
      </c>
      <c r="D213" t="s">
        <v>150</v>
      </c>
      <c r="E213">
        <v>2016</v>
      </c>
      <c r="F213" s="3">
        <v>2741.27</v>
      </c>
      <c r="G213" s="14">
        <v>0</v>
      </c>
      <c r="H213" s="14">
        <v>0</v>
      </c>
      <c r="I213" s="14">
        <f>'Omzet&amp;Prijs'!$C$49/SUM('Omzet&amp;Prijs'!$C$46:$C$51)*$Q213</f>
        <v>544.33544166218758</v>
      </c>
      <c r="J213" s="14">
        <f>'Omzet&amp;Prijs'!$C$50/SUM('Omzet&amp;Prijs'!$C$46:$C$51)*$Q213</f>
        <v>320.94537415496302</v>
      </c>
      <c r="K213" s="14">
        <f>'Omzet&amp;Prijs'!$C$48/SUM('Omzet&amp;Prijs'!$C$46:$C$51)*$Q213</f>
        <v>368.19152051270481</v>
      </c>
      <c r="L213" s="14">
        <v>0</v>
      </c>
      <c r="M213" s="14">
        <v>0</v>
      </c>
      <c r="N213" s="14">
        <f>'Omzet&amp;Prijs'!$C$46/SUM('Omzet&amp;Prijs'!$C$46:$C$51)*$Q213</f>
        <v>581.30155839662143</v>
      </c>
      <c r="O213" s="14">
        <f>'Omzet&amp;Prijs'!$C$51/SUM('Omzet&amp;Prijs'!$C$46:$C$51)*$Q213</f>
        <v>806.28124390540779</v>
      </c>
      <c r="P213" s="14">
        <f>'Omzet&amp;Prijs'!$C$47/SUM('Omzet&amp;Prijs'!$C$46:$C$51)*$Q213</f>
        <v>120.21486136811541</v>
      </c>
      <c r="Q213" s="3">
        <f t="shared" si="3"/>
        <v>2741.27</v>
      </c>
    </row>
    <row r="214" spans="1:17">
      <c r="A214" t="s">
        <v>132</v>
      </c>
      <c r="B214" t="s">
        <v>132</v>
      </c>
      <c r="C214" t="s">
        <v>123</v>
      </c>
      <c r="D214" t="s">
        <v>151</v>
      </c>
      <c r="E214">
        <v>2016</v>
      </c>
      <c r="F214" s="3">
        <v>0</v>
      </c>
      <c r="G214" s="14">
        <v>0</v>
      </c>
      <c r="H214" s="14">
        <v>0</v>
      </c>
      <c r="I214" s="14">
        <f>'Omzet&amp;Prijs'!$C$49/SUM('Omzet&amp;Prijs'!$C$46:$C$51)*$Q214</f>
        <v>0</v>
      </c>
      <c r="J214" s="14">
        <f>'Omzet&amp;Prijs'!$C$50/SUM('Omzet&amp;Prijs'!$C$46:$C$51)*$Q214</f>
        <v>0</v>
      </c>
      <c r="K214" s="14">
        <f>'Omzet&amp;Prijs'!$C$48/SUM('Omzet&amp;Prijs'!$C$46:$C$51)*$Q214</f>
        <v>0</v>
      </c>
      <c r="L214" s="14">
        <v>0</v>
      </c>
      <c r="M214" s="14">
        <v>0</v>
      </c>
      <c r="N214" s="14">
        <f>'Omzet&amp;Prijs'!$C$46/SUM('Omzet&amp;Prijs'!$C$46:$C$51)*$Q214</f>
        <v>0</v>
      </c>
      <c r="O214" s="14">
        <f>'Omzet&amp;Prijs'!$C$51/SUM('Omzet&amp;Prijs'!$C$46:$C$51)*$Q214</f>
        <v>0</v>
      </c>
      <c r="P214" s="14">
        <f>'Omzet&amp;Prijs'!$C$47/SUM('Omzet&amp;Prijs'!$C$46:$C$51)*$Q214</f>
        <v>0</v>
      </c>
      <c r="Q214" s="3">
        <f t="shared" si="3"/>
        <v>0</v>
      </c>
    </row>
    <row r="215" spans="1:17">
      <c r="A215" t="s">
        <v>132</v>
      </c>
      <c r="B215" t="s">
        <v>132</v>
      </c>
      <c r="C215" t="s">
        <v>152</v>
      </c>
      <c r="D215" t="s">
        <v>153</v>
      </c>
      <c r="E215">
        <v>2016</v>
      </c>
      <c r="F215" s="3">
        <f>777.14+2248.16</f>
        <v>3025.2999999999997</v>
      </c>
      <c r="G215" s="10">
        <v>0</v>
      </c>
      <c r="H215" s="10">
        <v>0</v>
      </c>
      <c r="I215" s="10">
        <f>'Omzet&amp;Prijs'!$C$49/(SUM('Omzet&amp;Prijs'!$C$46:$C$51)-'Omzet&amp;Prijs'!$C$51)*$Q215</f>
        <v>851.05301334377009</v>
      </c>
      <c r="J215" s="10">
        <f>'Omzet&amp;Prijs'!$C$50/(SUM('Omzet&amp;Prijs'!$C$46:$C$51)-'Omzet&amp;Prijs'!$C$51)*$Q215</f>
        <v>501.78898320355103</v>
      </c>
      <c r="K215" s="10">
        <f>'Omzet&amp;Prijs'!$C$48/(SUM('Omzet&amp;Prijs'!$C$46:$C$51)-'Omzet&amp;Prijs'!$C$51)*$Q215</f>
        <v>575.65699206193892</v>
      </c>
      <c r="L215" s="10">
        <v>0</v>
      </c>
      <c r="M215" s="10">
        <v>0</v>
      </c>
      <c r="N215" s="10">
        <f>'Omzet&amp;Prijs'!$C$46/(SUM('Omzet&amp;Prijs'!$C$46:$C$51)-'Omzet&amp;Prijs'!$C$51)*$Q215</f>
        <v>908.84848766083917</v>
      </c>
      <c r="O215" s="10">
        <v>0</v>
      </c>
      <c r="P215" s="10">
        <f>'Omzet&amp;Prijs'!$C$47/(SUM('Omzet&amp;Prijs'!$C$46:$C$51)-'Omzet&amp;Prijs'!$C$51)*$Q215</f>
        <v>187.95252372990055</v>
      </c>
      <c r="Q215" s="3">
        <f t="shared" si="3"/>
        <v>3025.2999999999997</v>
      </c>
    </row>
    <row r="216" spans="1:17">
      <c r="A216" t="s">
        <v>132</v>
      </c>
      <c r="B216" t="s">
        <v>132</v>
      </c>
      <c r="C216" t="s">
        <v>154</v>
      </c>
      <c r="D216" t="s">
        <v>155</v>
      </c>
      <c r="E216">
        <v>2016</v>
      </c>
      <c r="F216" s="3">
        <v>7538.48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f>Q216</f>
        <v>7538.48</v>
      </c>
      <c r="O216" s="2">
        <v>0</v>
      </c>
      <c r="P216" s="2">
        <v>0</v>
      </c>
      <c r="Q216" s="3">
        <f t="shared" si="3"/>
        <v>7538.48</v>
      </c>
    </row>
    <row r="217" spans="1:17">
      <c r="A217" t="s">
        <v>132</v>
      </c>
      <c r="B217" t="s">
        <v>132</v>
      </c>
      <c r="C217" t="s">
        <v>178</v>
      </c>
      <c r="D217" t="s">
        <v>179</v>
      </c>
      <c r="E217">
        <v>2016</v>
      </c>
      <c r="F217" s="3">
        <v>11736</v>
      </c>
      <c r="G217" s="2">
        <v>0</v>
      </c>
      <c r="H217" s="2">
        <v>0</v>
      </c>
      <c r="I217" s="2">
        <v>0</v>
      </c>
      <c r="J217" s="2">
        <v>0</v>
      </c>
      <c r="K217" s="2">
        <f>Q217</f>
        <v>11736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3">
        <f t="shared" si="3"/>
        <v>11736</v>
      </c>
    </row>
    <row r="218" spans="1:17">
      <c r="A218" t="s">
        <v>132</v>
      </c>
      <c r="B218" t="s">
        <v>132</v>
      </c>
      <c r="C218" t="s">
        <v>156</v>
      </c>
      <c r="D218" t="s">
        <v>157</v>
      </c>
      <c r="E218">
        <v>2016</v>
      </c>
      <c r="F218" s="3">
        <v>0</v>
      </c>
      <c r="G218" s="14">
        <v>0</v>
      </c>
      <c r="H218" s="14">
        <v>0</v>
      </c>
      <c r="I218" s="14">
        <f>'Omzet&amp;Prijs'!$C$49/SUM('Omzet&amp;Prijs'!$C$46:$C$51)*$Q218</f>
        <v>0</v>
      </c>
      <c r="J218" s="14">
        <f>'Omzet&amp;Prijs'!$C$50/SUM('Omzet&amp;Prijs'!$C$46:$C$51)*$Q218</f>
        <v>0</v>
      </c>
      <c r="K218" s="14">
        <f>'Omzet&amp;Prijs'!$C$48/SUM('Omzet&amp;Prijs'!$C$46:$C$51)*$Q218</f>
        <v>0</v>
      </c>
      <c r="L218" s="14">
        <v>0</v>
      </c>
      <c r="M218" s="14">
        <v>0</v>
      </c>
      <c r="N218" s="14">
        <f>'Omzet&amp;Prijs'!$C$46/SUM('Omzet&amp;Prijs'!$C$46:$C$51)*$Q218</f>
        <v>0</v>
      </c>
      <c r="O218" s="14">
        <f>'Omzet&amp;Prijs'!$C$51/SUM('Omzet&amp;Prijs'!$C$46:$C$51)*$Q218</f>
        <v>0</v>
      </c>
      <c r="P218" s="14">
        <f>'Omzet&amp;Prijs'!$C$47/SUM('Omzet&amp;Prijs'!$C$46:$C$51)*$Q218</f>
        <v>0</v>
      </c>
      <c r="Q218" s="3">
        <f t="shared" si="3"/>
        <v>0</v>
      </c>
    </row>
    <row r="219" spans="1:17" hidden="1">
      <c r="A219" t="s">
        <v>132</v>
      </c>
      <c r="B219" t="s">
        <v>119</v>
      </c>
      <c r="C219" t="s">
        <v>158</v>
      </c>
      <c r="D219" t="s">
        <v>159</v>
      </c>
      <c r="E219">
        <v>2016</v>
      </c>
      <c r="F219" s="3">
        <v>-5450.53</v>
      </c>
      <c r="G219"/>
      <c r="H219"/>
      <c r="I219"/>
      <c r="J219"/>
      <c r="K219"/>
      <c r="L219"/>
      <c r="M219"/>
      <c r="N219"/>
      <c r="O219"/>
      <c r="P219"/>
      <c r="Q219" s="3">
        <f t="shared" si="3"/>
        <v>5450.53</v>
      </c>
    </row>
    <row r="220" spans="1:17">
      <c r="A220" t="s">
        <v>132</v>
      </c>
      <c r="B220" t="s">
        <v>132</v>
      </c>
      <c r="C220" t="s">
        <v>160</v>
      </c>
      <c r="D220" t="s">
        <v>161</v>
      </c>
      <c r="E220">
        <v>2016</v>
      </c>
      <c r="F220" s="3">
        <f>-34.56+9449.46+3244.5+672.54+28430.19+1663.6</f>
        <v>43425.729999999996</v>
      </c>
      <c r="G220" s="10">
        <v>0</v>
      </c>
      <c r="H220" s="10">
        <v>0</v>
      </c>
      <c r="I220" s="10">
        <f>'Omzet&amp;Prijs'!$C$49/(SUM('Omzet&amp;Prijs'!$C$46:$C$51)-'Omzet&amp;Prijs'!$C$51)*$Q220</f>
        <v>12216.176370327887</v>
      </c>
      <c r="J220" s="10">
        <f>'Omzet&amp;Prijs'!$C$50/(SUM('Omzet&amp;Prijs'!$C$46:$C$51)-'Omzet&amp;Prijs'!$C$51)*$Q220</f>
        <v>7202.7742377853247</v>
      </c>
      <c r="K220" s="10">
        <f>'Omzet&amp;Prijs'!$C$48/(SUM('Omzet&amp;Prijs'!$C$46:$C$51)-'Omzet&amp;Prijs'!$C$51)*$Q220</f>
        <v>8263.0896472726345</v>
      </c>
      <c r="L220" s="10">
        <v>0</v>
      </c>
      <c r="M220" s="10">
        <v>0</v>
      </c>
      <c r="N220" s="10">
        <f>'Omzet&amp;Prijs'!$C$46/(SUM('Omzet&amp;Prijs'!$C$46:$C$51)-'Omzet&amp;Prijs'!$C$51)*$Q220</f>
        <v>13045.783570577441</v>
      </c>
      <c r="O220" s="10">
        <v>0</v>
      </c>
      <c r="P220" s="10">
        <f>'Omzet&amp;Prijs'!$C$47/(SUM('Omzet&amp;Prijs'!$C$46:$C$51)-'Omzet&amp;Prijs'!$C$51)*$Q220</f>
        <v>2697.9061740367083</v>
      </c>
      <c r="Q220" s="3">
        <f t="shared" si="3"/>
        <v>43425.729999999996</v>
      </c>
    </row>
    <row r="221" spans="1:17" hidden="1">
      <c r="A221" t="s">
        <v>132</v>
      </c>
      <c r="B221" t="s">
        <v>122</v>
      </c>
      <c r="C221" t="s">
        <v>162</v>
      </c>
      <c r="D221" t="s">
        <v>163</v>
      </c>
      <c r="E221">
        <v>2016</v>
      </c>
      <c r="F221" s="3">
        <v>0</v>
      </c>
      <c r="G221"/>
      <c r="H221"/>
      <c r="I221"/>
      <c r="J221"/>
      <c r="K221"/>
      <c r="L221"/>
      <c r="M221"/>
      <c r="N221"/>
      <c r="O221"/>
      <c r="P221"/>
      <c r="Q221" s="3">
        <f t="shared" si="3"/>
        <v>0</v>
      </c>
    </row>
    <row r="222" spans="1:17">
      <c r="A222" t="s">
        <v>132</v>
      </c>
      <c r="B222" t="s">
        <v>132</v>
      </c>
      <c r="C222" t="s">
        <v>156</v>
      </c>
      <c r="D222" t="s">
        <v>167</v>
      </c>
      <c r="E222">
        <v>2016</v>
      </c>
      <c r="F222" s="3">
        <v>0</v>
      </c>
      <c r="G222" s="14">
        <v>0</v>
      </c>
      <c r="H222" s="14">
        <v>0</v>
      </c>
      <c r="I222" s="14">
        <f>'Omzet&amp;Prijs'!$C$49/SUM('Omzet&amp;Prijs'!$C$46:$C$51)*$Q222</f>
        <v>0</v>
      </c>
      <c r="J222" s="14">
        <f>'Omzet&amp;Prijs'!$C$50/SUM('Omzet&amp;Prijs'!$C$46:$C$51)*$Q222</f>
        <v>0</v>
      </c>
      <c r="K222" s="14">
        <f>'Omzet&amp;Prijs'!$C$48/SUM('Omzet&amp;Prijs'!$C$46:$C$51)*$Q222</f>
        <v>0</v>
      </c>
      <c r="L222" s="14">
        <v>0</v>
      </c>
      <c r="M222" s="14">
        <v>0</v>
      </c>
      <c r="N222" s="14">
        <f>'Omzet&amp;Prijs'!$C$46/SUM('Omzet&amp;Prijs'!$C$46:$C$51)*$Q222</f>
        <v>0</v>
      </c>
      <c r="O222" s="14">
        <f>'Omzet&amp;Prijs'!$C$51/SUM('Omzet&amp;Prijs'!$C$46:$C$51)*$Q222</f>
        <v>0</v>
      </c>
      <c r="P222" s="14">
        <f>'Omzet&amp;Prijs'!$C$47/SUM('Omzet&amp;Prijs'!$C$46:$C$51)*$Q222</f>
        <v>0</v>
      </c>
      <c r="Q222" s="3">
        <f t="shared" si="3"/>
        <v>0</v>
      </c>
    </row>
    <row r="223" spans="1:17">
      <c r="A223" t="s">
        <v>132</v>
      </c>
      <c r="B223" t="s">
        <v>132</v>
      </c>
      <c r="C223" t="s">
        <v>165</v>
      </c>
      <c r="D223" t="s">
        <v>165</v>
      </c>
      <c r="E223">
        <v>2016</v>
      </c>
      <c r="F223" s="3">
        <v>400</v>
      </c>
      <c r="G223" s="14">
        <v>0</v>
      </c>
      <c r="H223" s="14">
        <v>0</v>
      </c>
      <c r="I223" s="14">
        <f>'Omzet&amp;Prijs'!$C$49/SUM('Omzet&amp;Prijs'!$C$46:$C$51)*$Q223</f>
        <v>79.428212713404761</v>
      </c>
      <c r="J223" s="14">
        <f>'Omzet&amp;Prijs'!$C$50/SUM('Omzet&amp;Prijs'!$C$46:$C$51)*$Q223</f>
        <v>46.831632660039034</v>
      </c>
      <c r="K223" s="14">
        <f>'Omzet&amp;Prijs'!$C$48/SUM('Omzet&amp;Prijs'!$C$46:$C$51)*$Q223</f>
        <v>53.725684885137881</v>
      </c>
      <c r="L223" s="14">
        <v>0</v>
      </c>
      <c r="M223" s="14">
        <v>0</v>
      </c>
      <c r="N223" s="14">
        <f>'Omzet&amp;Prijs'!$C$46/SUM('Omzet&amp;Prijs'!$C$46:$C$51)*$Q223</f>
        <v>84.822225960466696</v>
      </c>
      <c r="O223" s="14">
        <f>'Omzet&amp;Prijs'!$C$51/SUM('Omzet&amp;Prijs'!$C$46:$C$51)*$Q223</f>
        <v>117.65075952465942</v>
      </c>
      <c r="P223" s="14">
        <f>'Omzet&amp;Prijs'!$C$47/SUM('Omzet&amp;Prijs'!$C$46:$C$51)*$Q223</f>
        <v>17.541484256292218</v>
      </c>
      <c r="Q223" s="3">
        <f t="shared" si="3"/>
        <v>400</v>
      </c>
    </row>
    <row r="224" spans="1:17" hidden="1">
      <c r="A224" t="s">
        <v>132</v>
      </c>
      <c r="B224" t="s">
        <v>122</v>
      </c>
      <c r="C224" t="s">
        <v>166</v>
      </c>
      <c r="D224" t="s">
        <v>166</v>
      </c>
      <c r="E224">
        <v>2016</v>
      </c>
      <c r="F224" s="3">
        <f>246+387.32+1480.5-12674.78</f>
        <v>-10560.960000000001</v>
      </c>
      <c r="G224"/>
      <c r="H224"/>
      <c r="I224"/>
      <c r="J224"/>
      <c r="K224"/>
      <c r="L224"/>
      <c r="M224"/>
      <c r="N224"/>
      <c r="O224"/>
      <c r="P224"/>
      <c r="Q224" s="3">
        <f t="shared" si="3"/>
        <v>10560.960000000001</v>
      </c>
    </row>
    <row r="225" spans="1:17">
      <c r="A225" t="s">
        <v>132</v>
      </c>
      <c r="B225" t="s">
        <v>132</v>
      </c>
      <c r="C225" t="s">
        <v>168</v>
      </c>
      <c r="D225" t="s">
        <v>169</v>
      </c>
      <c r="E225">
        <v>2016</v>
      </c>
      <c r="F225" s="3">
        <v>7626.42</v>
      </c>
      <c r="G225" s="14">
        <v>0</v>
      </c>
      <c r="H225" s="14">
        <v>0</v>
      </c>
      <c r="I225" s="14">
        <f>'Omzet&amp;Prijs'!$C$49/SUM('Omzet&amp;Prijs'!$C$46:$C$51)*$Q225</f>
        <v>1514.3822750044108</v>
      </c>
      <c r="J225" s="14">
        <f>'Omzet&amp;Prijs'!$C$50/SUM('Omzet&amp;Prijs'!$C$46:$C$51)*$Q225</f>
        <v>892.89424987793723</v>
      </c>
      <c r="K225" s="14">
        <f>'Omzet&amp;Prijs'!$C$48/SUM('Omzet&amp;Prijs'!$C$46:$C$51)*$Q225</f>
        <v>1024.3365943042832</v>
      </c>
      <c r="L225" s="14">
        <v>0</v>
      </c>
      <c r="M225" s="14">
        <v>0</v>
      </c>
      <c r="N225" s="14">
        <f>'Omzet&amp;Prijs'!$C$46/SUM('Omzet&amp;Prijs'!$C$46:$C$51)*$Q225</f>
        <v>1617.2248012735561</v>
      </c>
      <c r="O225" s="14">
        <f>'Omzet&amp;Prijs'!$C$51/SUM('Omzet&amp;Prijs'!$C$46:$C$51)*$Q225</f>
        <v>2243.1352636351326</v>
      </c>
      <c r="P225" s="14">
        <f>'Omzet&amp;Prijs'!$C$47/SUM('Omzet&amp;Prijs'!$C$46:$C$51)*$Q225</f>
        <v>334.44681590468025</v>
      </c>
      <c r="Q225" s="3">
        <f t="shared" si="3"/>
        <v>7626.42</v>
      </c>
    </row>
    <row r="226" spans="1:17">
      <c r="A226" t="s">
        <v>132</v>
      </c>
      <c r="B226" t="s">
        <v>132</v>
      </c>
      <c r="C226" t="s">
        <v>156</v>
      </c>
      <c r="D226" t="s">
        <v>170</v>
      </c>
      <c r="E226">
        <v>2016</v>
      </c>
      <c r="F226" s="3">
        <v>100</v>
      </c>
      <c r="G226" s="14">
        <v>0</v>
      </c>
      <c r="H226" s="14">
        <v>0</v>
      </c>
      <c r="I226" s="14">
        <f>'Omzet&amp;Prijs'!$C$49/SUM('Omzet&amp;Prijs'!$C$46:$C$51)*$Q226</f>
        <v>19.85705317835119</v>
      </c>
      <c r="J226" s="14">
        <f>'Omzet&amp;Prijs'!$C$50/SUM('Omzet&amp;Prijs'!$C$46:$C$51)*$Q226</f>
        <v>11.707908165009759</v>
      </c>
      <c r="K226" s="14">
        <f>'Omzet&amp;Prijs'!$C$48/SUM('Omzet&amp;Prijs'!$C$46:$C$51)*$Q226</f>
        <v>13.43142122128447</v>
      </c>
      <c r="L226" s="14">
        <v>0</v>
      </c>
      <c r="M226" s="14">
        <v>0</v>
      </c>
      <c r="N226" s="14">
        <f>'Omzet&amp;Prijs'!$C$46/SUM('Omzet&amp;Prijs'!$C$46:$C$51)*$Q226</f>
        <v>21.205556490116674</v>
      </c>
      <c r="O226" s="14">
        <f>'Omzet&amp;Prijs'!$C$51/SUM('Omzet&amp;Prijs'!$C$46:$C$51)*$Q226</f>
        <v>29.412689881164855</v>
      </c>
      <c r="P226" s="14">
        <f>'Omzet&amp;Prijs'!$C$47/SUM('Omzet&amp;Prijs'!$C$46:$C$51)*$Q226</f>
        <v>4.3853710640730545</v>
      </c>
      <c r="Q226" s="3">
        <f t="shared" si="3"/>
        <v>100</v>
      </c>
    </row>
    <row r="227" spans="1:17">
      <c r="A227" t="s">
        <v>132</v>
      </c>
      <c r="B227" t="s">
        <v>132</v>
      </c>
      <c r="C227" t="s">
        <v>171</v>
      </c>
      <c r="D227" t="s">
        <v>172</v>
      </c>
      <c r="E227">
        <v>2016</v>
      </c>
      <c r="F227" s="3">
        <v>6650</v>
      </c>
      <c r="G227" s="14">
        <v>0</v>
      </c>
      <c r="H227" s="14">
        <v>0</v>
      </c>
      <c r="I227" s="14">
        <f>'Omzet&amp;Prijs'!$C$49/SUM('Omzet&amp;Prijs'!$C$46:$C$51)*$Q227</f>
        <v>1320.4940363603541</v>
      </c>
      <c r="J227" s="14">
        <f>'Omzet&amp;Prijs'!$C$50/SUM('Omzet&amp;Prijs'!$C$46:$C$51)*$Q227</f>
        <v>778.57589297314894</v>
      </c>
      <c r="K227" s="14">
        <f>'Omzet&amp;Prijs'!$C$48/SUM('Omzet&amp;Prijs'!$C$46:$C$51)*$Q227</f>
        <v>893.18951121541727</v>
      </c>
      <c r="L227" s="14">
        <v>0</v>
      </c>
      <c r="M227" s="14">
        <v>0</v>
      </c>
      <c r="N227" s="14">
        <f>'Omzet&amp;Prijs'!$C$46/SUM('Omzet&amp;Prijs'!$C$46:$C$51)*$Q227</f>
        <v>1410.1695065927588</v>
      </c>
      <c r="O227" s="14">
        <f>'Omzet&amp;Prijs'!$C$51/SUM('Omzet&amp;Prijs'!$C$46:$C$51)*$Q227</f>
        <v>1955.943877097463</v>
      </c>
      <c r="P227" s="14">
        <f>'Omzet&amp;Prijs'!$C$47/SUM('Omzet&amp;Prijs'!$C$46:$C$51)*$Q227</f>
        <v>291.62717576085811</v>
      </c>
      <c r="Q227" s="3">
        <f t="shared" si="3"/>
        <v>6650</v>
      </c>
    </row>
    <row r="228" spans="1:17" hidden="1">
      <c r="A228" t="s">
        <v>118</v>
      </c>
      <c r="B228" t="s">
        <v>122</v>
      </c>
      <c r="C228" t="s">
        <v>154</v>
      </c>
      <c r="D228" t="s">
        <v>173</v>
      </c>
      <c r="E228">
        <v>2016</v>
      </c>
      <c r="F228" s="3">
        <v>0</v>
      </c>
      <c r="G228"/>
      <c r="H228"/>
      <c r="I228"/>
      <c r="J228"/>
      <c r="K228"/>
      <c r="L228"/>
      <c r="M228"/>
      <c r="N228"/>
      <c r="O228"/>
      <c r="P228"/>
      <c r="Q228" s="3">
        <f t="shared" si="3"/>
        <v>0</v>
      </c>
    </row>
    <row r="229" spans="1:17" hidden="1">
      <c r="A229" t="s">
        <v>132</v>
      </c>
      <c r="B229" t="s">
        <v>122</v>
      </c>
      <c r="C229" t="s">
        <v>174</v>
      </c>
      <c r="D229" t="s">
        <v>175</v>
      </c>
      <c r="E229">
        <v>2016</v>
      </c>
      <c r="F229" s="3">
        <v>0</v>
      </c>
      <c r="G229"/>
      <c r="H229"/>
      <c r="I229"/>
      <c r="J229"/>
      <c r="K229"/>
      <c r="L229"/>
      <c r="M229"/>
      <c r="N229"/>
      <c r="O229"/>
      <c r="P229"/>
      <c r="Q229" s="3">
        <f t="shared" si="3"/>
        <v>0</v>
      </c>
    </row>
    <row r="230" spans="1:17" ht="14.45" thickBot="1">
      <c r="A230" s="11" t="s">
        <v>132</v>
      </c>
      <c r="B230" s="11" t="s">
        <v>132</v>
      </c>
      <c r="C230" s="11" t="s">
        <v>176</v>
      </c>
      <c r="D230" s="11" t="s">
        <v>177</v>
      </c>
      <c r="E230" s="11">
        <v>2016</v>
      </c>
      <c r="F230" s="12">
        <v>0</v>
      </c>
      <c r="G230" s="15">
        <v>0</v>
      </c>
      <c r="H230" s="15">
        <v>0</v>
      </c>
      <c r="I230" s="15">
        <f>'Omzet&amp;Prijs'!$C$49/SUM('Omzet&amp;Prijs'!$C$46:$C$51)*$Q230</f>
        <v>0</v>
      </c>
      <c r="J230" s="15">
        <f>'Omzet&amp;Prijs'!$C$50/SUM('Omzet&amp;Prijs'!$C$46:$C$51)*$Q230</f>
        <v>0</v>
      </c>
      <c r="K230" s="15">
        <f>'Omzet&amp;Prijs'!$C$48/SUM('Omzet&amp;Prijs'!$C$46:$C$51)*$Q230</f>
        <v>0</v>
      </c>
      <c r="L230" s="15">
        <v>0</v>
      </c>
      <c r="M230" s="15">
        <v>0</v>
      </c>
      <c r="N230" s="15">
        <f>'Omzet&amp;Prijs'!$C$46/SUM('Omzet&amp;Prijs'!$C$46:$C$51)*$Q230</f>
        <v>0</v>
      </c>
      <c r="O230" s="15">
        <f>'Omzet&amp;Prijs'!$C$51/SUM('Omzet&amp;Prijs'!$C$46:$C$51)*$Q230</f>
        <v>0</v>
      </c>
      <c r="P230" s="15">
        <f>'Omzet&amp;Prijs'!$C$47/SUM('Omzet&amp;Prijs'!$C$46:$C$51)*$Q230</f>
        <v>0</v>
      </c>
      <c r="Q230" s="12">
        <f t="shared" si="3"/>
        <v>0</v>
      </c>
    </row>
    <row r="231" spans="1:17" hidden="1">
      <c r="A231" t="s">
        <v>118</v>
      </c>
      <c r="B231" t="s">
        <v>119</v>
      </c>
      <c r="C231" t="s">
        <v>120</v>
      </c>
      <c r="D231" t="s">
        <v>121</v>
      </c>
      <c r="E231">
        <v>2017</v>
      </c>
      <c r="F231" s="3">
        <v>-222513.04</v>
      </c>
      <c r="G231"/>
      <c r="H231"/>
      <c r="I231"/>
      <c r="J231"/>
      <c r="K231"/>
      <c r="L231"/>
      <c r="M231"/>
      <c r="N231"/>
      <c r="O231"/>
      <c r="P231"/>
      <c r="Q231" s="3">
        <f t="shared" si="3"/>
        <v>222513.04</v>
      </c>
    </row>
    <row r="232" spans="1:17" hidden="1">
      <c r="A232" t="s">
        <v>118</v>
      </c>
      <c r="B232" t="s">
        <v>122</v>
      </c>
      <c r="C232" t="s">
        <v>123</v>
      </c>
      <c r="D232" t="s">
        <v>124</v>
      </c>
      <c r="E232">
        <v>2017</v>
      </c>
      <c r="F232" s="3">
        <v>0</v>
      </c>
      <c r="G232"/>
      <c r="H232"/>
      <c r="I232"/>
      <c r="J232"/>
      <c r="K232"/>
      <c r="L232"/>
      <c r="M232"/>
      <c r="N232"/>
      <c r="O232"/>
      <c r="P232"/>
      <c r="Q232" s="3">
        <f t="shared" si="3"/>
        <v>0</v>
      </c>
    </row>
    <row r="233" spans="1:17" hidden="1">
      <c r="A233" t="s">
        <v>118</v>
      </c>
      <c r="B233" t="s">
        <v>122</v>
      </c>
      <c r="C233" t="s">
        <v>123</v>
      </c>
      <c r="D233" t="s">
        <v>125</v>
      </c>
      <c r="E233">
        <v>2017</v>
      </c>
      <c r="F233" s="3">
        <v>0</v>
      </c>
      <c r="G233"/>
      <c r="H233"/>
      <c r="I233"/>
      <c r="J233"/>
      <c r="K233"/>
      <c r="L233"/>
      <c r="M233"/>
      <c r="N233"/>
      <c r="O233"/>
      <c r="P233"/>
      <c r="Q233" s="3">
        <f t="shared" si="3"/>
        <v>0</v>
      </c>
    </row>
    <row r="234" spans="1:17" hidden="1">
      <c r="A234" t="s">
        <v>118</v>
      </c>
      <c r="B234" t="s">
        <v>122</v>
      </c>
      <c r="C234" t="s">
        <v>123</v>
      </c>
      <c r="D234" t="s">
        <v>126</v>
      </c>
      <c r="E234">
        <v>2017</v>
      </c>
      <c r="F234" s="3">
        <v>0</v>
      </c>
      <c r="G234"/>
      <c r="H234"/>
      <c r="I234"/>
      <c r="J234"/>
      <c r="K234"/>
      <c r="L234"/>
      <c r="M234"/>
      <c r="N234"/>
      <c r="O234"/>
      <c r="P234"/>
      <c r="Q234" s="3">
        <f t="shared" si="3"/>
        <v>0</v>
      </c>
    </row>
    <row r="235" spans="1:17" hidden="1">
      <c r="A235" t="s">
        <v>118</v>
      </c>
      <c r="B235" t="s">
        <v>122</v>
      </c>
      <c r="C235" t="s">
        <v>127</v>
      </c>
      <c r="D235" t="s">
        <v>128</v>
      </c>
      <c r="E235">
        <v>2017</v>
      </c>
      <c r="F235" s="3">
        <v>0</v>
      </c>
      <c r="G235"/>
      <c r="H235"/>
      <c r="I235"/>
      <c r="J235"/>
      <c r="K235"/>
      <c r="L235"/>
      <c r="M235"/>
      <c r="N235"/>
      <c r="O235"/>
      <c r="P235"/>
      <c r="Q235" s="3">
        <f t="shared" si="3"/>
        <v>0</v>
      </c>
    </row>
    <row r="236" spans="1:17" hidden="1">
      <c r="A236" t="s">
        <v>118</v>
      </c>
      <c r="B236" t="s">
        <v>122</v>
      </c>
      <c r="C236" t="s">
        <v>129</v>
      </c>
      <c r="D236" t="s">
        <v>130</v>
      </c>
      <c r="E236">
        <v>2017</v>
      </c>
      <c r="F236" s="3">
        <v>0</v>
      </c>
      <c r="G236"/>
      <c r="H236"/>
      <c r="I236"/>
      <c r="J236"/>
      <c r="K236"/>
      <c r="L236"/>
      <c r="M236"/>
      <c r="N236"/>
      <c r="O236"/>
      <c r="P236"/>
      <c r="Q236" s="3">
        <f t="shared" si="3"/>
        <v>0</v>
      </c>
    </row>
    <row r="237" spans="1:17" hidden="1">
      <c r="A237" t="s">
        <v>118</v>
      </c>
      <c r="B237" t="s">
        <v>122</v>
      </c>
      <c r="C237" t="s">
        <v>129</v>
      </c>
      <c r="D237" t="s">
        <v>131</v>
      </c>
      <c r="E237">
        <v>2017</v>
      </c>
      <c r="F237" s="3">
        <v>0</v>
      </c>
      <c r="G237"/>
      <c r="H237"/>
      <c r="I237"/>
      <c r="J237"/>
      <c r="K237"/>
      <c r="L237"/>
      <c r="M237"/>
      <c r="N237"/>
      <c r="O237"/>
      <c r="P237"/>
      <c r="Q237" s="3">
        <f t="shared" si="3"/>
        <v>0</v>
      </c>
    </row>
    <row r="238" spans="1:17">
      <c r="A238" t="s">
        <v>118</v>
      </c>
      <c r="B238" t="s">
        <v>132</v>
      </c>
      <c r="C238" t="s">
        <v>133</v>
      </c>
      <c r="D238" t="s">
        <v>133</v>
      </c>
      <c r="E238">
        <v>2017</v>
      </c>
      <c r="F238" s="3">
        <v>1829.04</v>
      </c>
      <c r="G238" s="14">
        <v>0</v>
      </c>
      <c r="H238" s="14">
        <v>0</v>
      </c>
      <c r="I238" s="14">
        <f>'Omzet&amp;Prijs'!$C$55/SUM('Omzet&amp;Prijs'!$C$52:$C$57)*$Q238</f>
        <v>264.56844845622601</v>
      </c>
      <c r="J238" s="14">
        <f>'Omzet&amp;Prijs'!$C$56/SUM('Omzet&amp;Prijs'!$C$52:$C$57)*$Q238</f>
        <v>320.10350945595218</v>
      </c>
      <c r="K238" s="14">
        <f>'Omzet&amp;Prijs'!$C$54/SUM('Omzet&amp;Prijs'!$C$52:$C$57)*$Q238</f>
        <v>315.99424025911719</v>
      </c>
      <c r="L238" s="14">
        <v>0</v>
      </c>
      <c r="M238" s="14">
        <v>0</v>
      </c>
      <c r="N238" s="14">
        <f>'Omzet&amp;Prijs'!$C$52/SUM('Omzet&amp;Prijs'!$C$52:$C$57)*$Q238</f>
        <v>536.30243507443299</v>
      </c>
      <c r="O238" s="14">
        <f>'Omzet&amp;Prijs'!$C$57/SUM('Omzet&amp;Prijs'!$C$52:$C$57)*$Q238</f>
        <v>263.83220439179308</v>
      </c>
      <c r="P238" s="14">
        <f>'Omzet&amp;Prijs'!$C$53/SUM('Omzet&amp;Prijs'!$C$52:$C$57)*$Q238</f>
        <v>128.23916236247857</v>
      </c>
      <c r="Q238" s="3">
        <f t="shared" si="3"/>
        <v>1829.04</v>
      </c>
    </row>
    <row r="239" spans="1:17">
      <c r="A239" t="s">
        <v>118</v>
      </c>
      <c r="B239" t="s">
        <v>132</v>
      </c>
      <c r="C239" t="s">
        <v>134</v>
      </c>
      <c r="D239" t="s">
        <v>135</v>
      </c>
      <c r="E239">
        <v>2017</v>
      </c>
      <c r="F239" s="3">
        <f>4537.87+4611.48</f>
        <v>9149.3499999999985</v>
      </c>
      <c r="G239" s="14">
        <v>0</v>
      </c>
      <c r="H239" s="14">
        <v>0</v>
      </c>
      <c r="I239" s="14">
        <f>'Omzet&amp;Prijs'!$C$55/SUM('Omzet&amp;Prijs'!$C$52:$C$57)*$Q239</f>
        <v>1323.4425348177026</v>
      </c>
      <c r="J239" s="14">
        <f>'Omzet&amp;Prijs'!$C$56/SUM('Omzet&amp;Prijs'!$C$52:$C$57)*$Q239</f>
        <v>1601.243846083637</v>
      </c>
      <c r="K239" s="14">
        <f>'Omzet&amp;Prijs'!$C$54/SUM('Omzet&amp;Prijs'!$C$52:$C$57)*$Q239</f>
        <v>1580.6881763738099</v>
      </c>
      <c r="L239" s="14">
        <v>0</v>
      </c>
      <c r="M239" s="14">
        <v>0</v>
      </c>
      <c r="N239" s="14">
        <f>'Omzet&amp;Prijs'!$C$52/SUM('Omzet&amp;Prijs'!$C$52:$C$57)*$Q239</f>
        <v>2682.7290186919163</v>
      </c>
      <c r="O239" s="14">
        <f>'Omzet&amp;Prijs'!$C$57/SUM('Omzet&amp;Prijs'!$C$52:$C$57)*$Q239</f>
        <v>1319.7596439946919</v>
      </c>
      <c r="P239" s="14">
        <f>'Omzet&amp;Prijs'!$C$53/SUM('Omzet&amp;Prijs'!$C$52:$C$57)*$Q239</f>
        <v>641.48678003824023</v>
      </c>
      <c r="Q239" s="3">
        <f t="shared" si="3"/>
        <v>9149.3499999999985</v>
      </c>
    </row>
    <row r="240" spans="1:17">
      <c r="A240" t="s">
        <v>118</v>
      </c>
      <c r="B240" t="s">
        <v>132</v>
      </c>
      <c r="C240" t="s">
        <v>136</v>
      </c>
      <c r="D240" t="s">
        <v>137</v>
      </c>
      <c r="E240">
        <v>2017</v>
      </c>
      <c r="F240" s="3">
        <v>1503.49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f>Q240</f>
        <v>1503.49</v>
      </c>
      <c r="O240" s="2">
        <v>0</v>
      </c>
      <c r="P240" s="2">
        <v>0</v>
      </c>
      <c r="Q240" s="3">
        <f t="shared" si="3"/>
        <v>1503.49</v>
      </c>
    </row>
    <row r="241" spans="1:17">
      <c r="A241" t="s">
        <v>118</v>
      </c>
      <c r="B241" t="s">
        <v>132</v>
      </c>
      <c r="C241" t="s">
        <v>180</v>
      </c>
      <c r="D241" t="s">
        <v>181</v>
      </c>
      <c r="E241">
        <v>2017</v>
      </c>
      <c r="F241" s="3">
        <v>2328.87</v>
      </c>
      <c r="G241" s="14">
        <v>0</v>
      </c>
      <c r="H241" s="14">
        <v>0</v>
      </c>
      <c r="I241" s="14">
        <f>'Omzet&amp;Prijs'!$C$55/SUM('Omzet&amp;Prijs'!$C$52:$C$57)*$Q241</f>
        <v>336.86826015628475</v>
      </c>
      <c r="J241" s="14">
        <f>'Omzet&amp;Prijs'!$C$56/SUM('Omzet&amp;Prijs'!$C$52:$C$57)*$Q241</f>
        <v>407.57963744187293</v>
      </c>
      <c r="K241" s="14">
        <f>'Omzet&amp;Prijs'!$C$54/SUM('Omzet&amp;Prijs'!$C$52:$C$57)*$Q241</f>
        <v>402.34740974076573</v>
      </c>
      <c r="L241" s="14">
        <v>0</v>
      </c>
      <c r="M241" s="14">
        <v>0</v>
      </c>
      <c r="N241" s="14">
        <f>'Omzet&amp;Prijs'!$C$52/SUM('Omzet&amp;Prijs'!$C$52:$C$57)*$Q241</f>
        <v>682.86021736637508</v>
      </c>
      <c r="O241" s="14">
        <f>'Omzet&amp;Prijs'!$C$57/SUM('Omzet&amp;Prijs'!$C$52:$C$57)*$Q241</f>
        <v>335.93081935983633</v>
      </c>
      <c r="P241" s="14">
        <f>'Omzet&amp;Prijs'!$C$53/SUM('Omzet&amp;Prijs'!$C$52:$C$57)*$Q241</f>
        <v>163.28365593486495</v>
      </c>
      <c r="Q241" s="3">
        <f t="shared" si="3"/>
        <v>2328.87</v>
      </c>
    </row>
    <row r="242" spans="1:17">
      <c r="A242" t="s">
        <v>118</v>
      </c>
      <c r="B242" t="s">
        <v>132</v>
      </c>
      <c r="C242" t="s">
        <v>182</v>
      </c>
      <c r="D242" t="s">
        <v>183</v>
      </c>
      <c r="E242">
        <v>2017</v>
      </c>
      <c r="F242" s="3">
        <v>3445.49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f>Q242</f>
        <v>3445.49</v>
      </c>
      <c r="O242" s="2">
        <v>0</v>
      </c>
      <c r="P242" s="2">
        <v>0</v>
      </c>
      <c r="Q242" s="3">
        <f t="shared" si="3"/>
        <v>3445.49</v>
      </c>
    </row>
    <row r="243" spans="1:17">
      <c r="A243" t="s">
        <v>118</v>
      </c>
      <c r="B243" t="s">
        <v>132</v>
      </c>
      <c r="C243" t="s">
        <v>184</v>
      </c>
      <c r="D243" t="s">
        <v>185</v>
      </c>
      <c r="E243">
        <v>2017</v>
      </c>
      <c r="F243" s="3">
        <v>776.38</v>
      </c>
      <c r="G243" s="14">
        <v>0</v>
      </c>
      <c r="H243" s="14">
        <v>0</v>
      </c>
      <c r="I243" s="14">
        <f>'Omzet&amp;Prijs'!$C$55/SUM('Omzet&amp;Prijs'!$C$52:$C$57)*$Q243</f>
        <v>112.30243844445432</v>
      </c>
      <c r="J243" s="14">
        <f>'Omzet&amp;Prijs'!$C$56/SUM('Omzet&amp;Prijs'!$C$52:$C$57)*$Q243</f>
        <v>135.87563020568831</v>
      </c>
      <c r="K243" s="14">
        <f>'Omzet&amp;Prijs'!$C$54/SUM('Omzet&amp;Prijs'!$C$52:$C$57)*$Q243</f>
        <v>134.13135210404005</v>
      </c>
      <c r="L243" s="14">
        <v>0</v>
      </c>
      <c r="M243" s="14">
        <v>0</v>
      </c>
      <c r="N243" s="14">
        <f>'Omzet&amp;Prijs'!$C$52/SUM('Omzet&amp;Prijs'!$C$52:$C$57)*$Q243</f>
        <v>227.64646182865781</v>
      </c>
      <c r="O243" s="14">
        <f>'Omzet&amp;Prijs'!$C$57/SUM('Omzet&amp;Prijs'!$C$52:$C$57)*$Q243</f>
        <v>111.98992195124235</v>
      </c>
      <c r="P243" s="14">
        <f>'Omzet&amp;Prijs'!$C$53/SUM('Omzet&amp;Prijs'!$C$52:$C$57)*$Q243</f>
        <v>54.434195465917149</v>
      </c>
      <c r="Q243" s="3">
        <f t="shared" si="3"/>
        <v>776.38</v>
      </c>
    </row>
    <row r="244" spans="1:17">
      <c r="A244" t="s">
        <v>118</v>
      </c>
      <c r="B244" t="s">
        <v>132</v>
      </c>
      <c r="C244" t="s">
        <v>138</v>
      </c>
      <c r="D244" t="s">
        <v>139</v>
      </c>
      <c r="E244">
        <v>2017</v>
      </c>
      <c r="F244" s="3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f>Q244</f>
        <v>0</v>
      </c>
      <c r="O244" s="2">
        <v>0</v>
      </c>
      <c r="P244" s="2">
        <v>0</v>
      </c>
      <c r="Q244" s="3">
        <f t="shared" si="3"/>
        <v>0</v>
      </c>
    </row>
    <row r="245" spans="1:17">
      <c r="A245" t="s">
        <v>118</v>
      </c>
      <c r="B245" t="s">
        <v>132</v>
      </c>
      <c r="C245" t="s">
        <v>140</v>
      </c>
      <c r="D245" t="s">
        <v>141</v>
      </c>
      <c r="E245">
        <v>2017</v>
      </c>
      <c r="F245" s="3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f>Q245</f>
        <v>0</v>
      </c>
      <c r="O245" s="2">
        <v>0</v>
      </c>
      <c r="P245" s="2">
        <v>0</v>
      </c>
      <c r="Q245" s="3">
        <f t="shared" si="3"/>
        <v>0</v>
      </c>
    </row>
    <row r="246" spans="1:17" hidden="1">
      <c r="A246" t="s">
        <v>123</v>
      </c>
      <c r="B246" t="s">
        <v>122</v>
      </c>
      <c r="C246" t="s">
        <v>123</v>
      </c>
      <c r="D246" t="s">
        <v>142</v>
      </c>
      <c r="E246">
        <v>2017</v>
      </c>
      <c r="F246" s="3">
        <v>-77.2</v>
      </c>
      <c r="G246"/>
      <c r="H246"/>
      <c r="I246"/>
      <c r="J246"/>
      <c r="K246"/>
      <c r="L246"/>
      <c r="M246"/>
      <c r="N246"/>
      <c r="O246"/>
      <c r="P246"/>
      <c r="Q246" s="3">
        <f t="shared" si="3"/>
        <v>77.2</v>
      </c>
    </row>
    <row r="247" spans="1:17" hidden="1">
      <c r="A247" t="s">
        <v>132</v>
      </c>
      <c r="B247" t="s">
        <v>122</v>
      </c>
      <c r="C247" t="s">
        <v>143</v>
      </c>
      <c r="D247" t="s">
        <v>143</v>
      </c>
      <c r="E247">
        <v>2017</v>
      </c>
      <c r="F247" s="3">
        <v>0</v>
      </c>
      <c r="G247"/>
      <c r="H247"/>
      <c r="I247"/>
      <c r="J247"/>
      <c r="K247"/>
      <c r="L247"/>
      <c r="M247"/>
      <c r="N247"/>
      <c r="O247"/>
      <c r="P247"/>
      <c r="Q247" s="3">
        <f t="shared" si="3"/>
        <v>0</v>
      </c>
    </row>
    <row r="248" spans="1:17">
      <c r="A248" t="s">
        <v>132</v>
      </c>
      <c r="B248" t="s">
        <v>132</v>
      </c>
      <c r="C248" t="s">
        <v>144</v>
      </c>
      <c r="D248" t="s">
        <v>145</v>
      </c>
      <c r="E248">
        <v>2017</v>
      </c>
      <c r="F248" s="3">
        <v>0</v>
      </c>
      <c r="G248" s="14">
        <v>0</v>
      </c>
      <c r="H248" s="14">
        <v>0</v>
      </c>
      <c r="I248" s="14">
        <f>'Omzet&amp;Prijs'!$C$55/SUM('Omzet&amp;Prijs'!$C$52:$C$57)*$Q248</f>
        <v>0</v>
      </c>
      <c r="J248" s="14">
        <f>'Omzet&amp;Prijs'!$C$56/SUM('Omzet&amp;Prijs'!$C$52:$C$57)*$Q248</f>
        <v>0</v>
      </c>
      <c r="K248" s="14">
        <f>'Omzet&amp;Prijs'!$C$54/SUM('Omzet&amp;Prijs'!$C$52:$C$57)*$Q248</f>
        <v>0</v>
      </c>
      <c r="L248" s="14">
        <v>0</v>
      </c>
      <c r="M248" s="14">
        <v>0</v>
      </c>
      <c r="N248" s="14">
        <f>'Omzet&amp;Prijs'!$C$52/SUM('Omzet&amp;Prijs'!$C$52:$C$57)*$Q248</f>
        <v>0</v>
      </c>
      <c r="O248" s="14">
        <f>'Omzet&amp;Prijs'!$C$57/SUM('Omzet&amp;Prijs'!$C$52:$C$57)*$Q248</f>
        <v>0</v>
      </c>
      <c r="P248" s="14">
        <f>'Omzet&amp;Prijs'!$C$53/SUM('Omzet&amp;Prijs'!$C$52:$C$57)*$Q248</f>
        <v>0</v>
      </c>
      <c r="Q248" s="3">
        <f t="shared" si="3"/>
        <v>0</v>
      </c>
    </row>
    <row r="249" spans="1:17">
      <c r="A249" t="s">
        <v>132</v>
      </c>
      <c r="B249" t="s">
        <v>132</v>
      </c>
      <c r="C249" t="s">
        <v>144</v>
      </c>
      <c r="D249" t="s">
        <v>146</v>
      </c>
      <c r="E249">
        <v>2017</v>
      </c>
      <c r="F249" s="3">
        <v>40.68</v>
      </c>
      <c r="G249" s="14">
        <v>0</v>
      </c>
      <c r="H249" s="14">
        <v>0</v>
      </c>
      <c r="I249" s="14">
        <f>'Omzet&amp;Prijs'!$C$55/SUM('Omzet&amp;Prijs'!$C$52:$C$57)*$Q249</f>
        <v>5.884313346454574</v>
      </c>
      <c r="J249" s="14">
        <f>'Omzet&amp;Prijs'!$C$56/SUM('Omzet&amp;Prijs'!$C$52:$C$57)*$Q249</f>
        <v>7.1194783955890157</v>
      </c>
      <c r="K249" s="14">
        <f>'Omzet&amp;Prijs'!$C$54/SUM('Omzet&amp;Prijs'!$C$52:$C$57)*$Q249</f>
        <v>7.0280834173888413</v>
      </c>
      <c r="L249" s="14">
        <v>0</v>
      </c>
      <c r="M249" s="14">
        <v>0</v>
      </c>
      <c r="N249" s="14">
        <f>'Omzet&amp;Prijs'!$C$52/SUM('Omzet&amp;Prijs'!$C$52:$C$57)*$Q249</f>
        <v>11.927996686145701</v>
      </c>
      <c r="O249" s="14">
        <f>'Omzet&amp;Prijs'!$C$57/SUM('Omzet&amp;Prijs'!$C$52:$C$57)*$Q249</f>
        <v>5.8679384128603758</v>
      </c>
      <c r="P249" s="14">
        <f>'Omzet&amp;Prijs'!$C$53/SUM('Omzet&amp;Prijs'!$C$52:$C$57)*$Q249</f>
        <v>2.8521897415614901</v>
      </c>
      <c r="Q249" s="3">
        <f t="shared" si="3"/>
        <v>40.68</v>
      </c>
    </row>
    <row r="250" spans="1:17">
      <c r="A250" t="s">
        <v>132</v>
      </c>
      <c r="B250" t="s">
        <v>132</v>
      </c>
      <c r="C250" t="s">
        <v>147</v>
      </c>
      <c r="D250" t="s">
        <v>148</v>
      </c>
      <c r="E250">
        <v>2017</v>
      </c>
      <c r="F250" s="3">
        <v>0</v>
      </c>
      <c r="G250" s="14">
        <v>0</v>
      </c>
      <c r="H250" s="14">
        <v>0</v>
      </c>
      <c r="I250" s="14">
        <f>'Omzet&amp;Prijs'!$C$55/SUM('Omzet&amp;Prijs'!$C$52:$C$57)*$Q250</f>
        <v>0</v>
      </c>
      <c r="J250" s="14">
        <f>'Omzet&amp;Prijs'!$C$56/SUM('Omzet&amp;Prijs'!$C$52:$C$57)*$Q250</f>
        <v>0</v>
      </c>
      <c r="K250" s="14">
        <f>'Omzet&amp;Prijs'!$C$54/SUM('Omzet&amp;Prijs'!$C$52:$C$57)*$Q250</f>
        <v>0</v>
      </c>
      <c r="L250" s="14">
        <v>0</v>
      </c>
      <c r="M250" s="14">
        <v>0</v>
      </c>
      <c r="N250" s="14">
        <f>'Omzet&amp;Prijs'!$C$52/SUM('Omzet&amp;Prijs'!$C$52:$C$57)*$Q250</f>
        <v>0</v>
      </c>
      <c r="O250" s="14">
        <f>'Omzet&amp;Prijs'!$C$57/SUM('Omzet&amp;Prijs'!$C$52:$C$57)*$Q250</f>
        <v>0</v>
      </c>
      <c r="P250" s="14">
        <f>'Omzet&amp;Prijs'!$C$53/SUM('Omzet&amp;Prijs'!$C$52:$C$57)*$Q250</f>
        <v>0</v>
      </c>
      <c r="Q250" s="3">
        <f t="shared" si="3"/>
        <v>0</v>
      </c>
    </row>
    <row r="251" spans="1:17">
      <c r="A251" t="s">
        <v>132</v>
      </c>
      <c r="B251" t="s">
        <v>132</v>
      </c>
      <c r="C251" t="s">
        <v>149</v>
      </c>
      <c r="D251" t="s">
        <v>150</v>
      </c>
      <c r="E251">
        <v>2017</v>
      </c>
      <c r="F251" s="3">
        <v>-2583.6999999999998</v>
      </c>
      <c r="G251" s="14">
        <v>0</v>
      </c>
      <c r="H251" s="14">
        <v>0</v>
      </c>
      <c r="I251" s="14">
        <f>'Omzet&amp;Prijs'!$C$55/SUM('Omzet&amp;Prijs'!$C$52:$C$57)*$Q251</f>
        <v>373.72911487794204</v>
      </c>
      <c r="J251" s="14">
        <f>'Omzet&amp;Prijs'!$C$56/SUM('Omzet&amp;Prijs'!$C$52:$C$57)*$Q251</f>
        <v>452.17788423508699</v>
      </c>
      <c r="K251" s="14">
        <f>'Omzet&amp;Prijs'!$C$54/SUM('Omzet&amp;Prijs'!$C$52:$C$57)*$Q251</f>
        <v>446.3731348453183</v>
      </c>
      <c r="L251" s="14">
        <v>0</v>
      </c>
      <c r="M251" s="14">
        <v>0</v>
      </c>
      <c r="N251" s="14">
        <f>'Omzet&amp;Prijs'!$C$52/SUM('Omzet&amp;Prijs'!$C$52:$C$57)*$Q251</f>
        <v>757.58026150429316</v>
      </c>
      <c r="O251" s="14">
        <f>'Omzet&amp;Prijs'!$C$57/SUM('Omzet&amp;Prijs'!$C$52:$C$57)*$Q251</f>
        <v>372.6890972789418</v>
      </c>
      <c r="P251" s="14">
        <f>'Omzet&amp;Prijs'!$C$53/SUM('Omzet&amp;Prijs'!$C$52:$C$57)*$Q251</f>
        <v>181.15050725841743</v>
      </c>
      <c r="Q251" s="3">
        <f t="shared" si="3"/>
        <v>2583.6999999999998</v>
      </c>
    </row>
    <row r="252" spans="1:17">
      <c r="A252" t="s">
        <v>132</v>
      </c>
      <c r="B252" t="s">
        <v>132</v>
      </c>
      <c r="C252" t="s">
        <v>123</v>
      </c>
      <c r="D252" t="s">
        <v>151</v>
      </c>
      <c r="E252">
        <v>2017</v>
      </c>
      <c r="F252" s="3">
        <v>0</v>
      </c>
      <c r="G252" s="14">
        <v>0</v>
      </c>
      <c r="H252" s="14">
        <v>0</v>
      </c>
      <c r="I252" s="14">
        <f>'Omzet&amp;Prijs'!$C$55/SUM('Omzet&amp;Prijs'!$C$52:$C$57)*$Q252</f>
        <v>0</v>
      </c>
      <c r="J252" s="14">
        <f>'Omzet&amp;Prijs'!$C$56/SUM('Omzet&amp;Prijs'!$C$52:$C$57)*$Q252</f>
        <v>0</v>
      </c>
      <c r="K252" s="14">
        <f>'Omzet&amp;Prijs'!$C$54/SUM('Omzet&amp;Prijs'!$C$52:$C$57)*$Q252</f>
        <v>0</v>
      </c>
      <c r="L252" s="14">
        <v>0</v>
      </c>
      <c r="M252" s="14">
        <v>0</v>
      </c>
      <c r="N252" s="14">
        <f>'Omzet&amp;Prijs'!$C$52/SUM('Omzet&amp;Prijs'!$C$52:$C$57)*$Q252</f>
        <v>0</v>
      </c>
      <c r="O252" s="14">
        <f>'Omzet&amp;Prijs'!$C$57/SUM('Omzet&amp;Prijs'!$C$52:$C$57)*$Q252</f>
        <v>0</v>
      </c>
      <c r="P252" s="14">
        <f>'Omzet&amp;Prijs'!$C$53/SUM('Omzet&amp;Prijs'!$C$52:$C$57)*$Q252</f>
        <v>0</v>
      </c>
      <c r="Q252" s="3">
        <f t="shared" si="3"/>
        <v>0</v>
      </c>
    </row>
    <row r="253" spans="1:17">
      <c r="A253" t="s">
        <v>132</v>
      </c>
      <c r="B253" t="s">
        <v>132</v>
      </c>
      <c r="C253" t="s">
        <v>152</v>
      </c>
      <c r="D253" t="s">
        <v>153</v>
      </c>
      <c r="E253">
        <v>2017</v>
      </c>
      <c r="F253" s="3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3">
        <f t="shared" si="3"/>
        <v>0</v>
      </c>
    </row>
    <row r="254" spans="1:17">
      <c r="A254" t="s">
        <v>132</v>
      </c>
      <c r="B254" t="s">
        <v>132</v>
      </c>
      <c r="C254" t="s">
        <v>154</v>
      </c>
      <c r="D254" t="s">
        <v>155</v>
      </c>
      <c r="E254">
        <v>2017</v>
      </c>
      <c r="F254" s="3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f>Q254</f>
        <v>0</v>
      </c>
      <c r="O254" s="2">
        <v>0</v>
      </c>
      <c r="P254" s="2">
        <v>0</v>
      </c>
      <c r="Q254" s="3">
        <f t="shared" si="3"/>
        <v>0</v>
      </c>
    </row>
    <row r="255" spans="1:17">
      <c r="A255" t="s">
        <v>132</v>
      </c>
      <c r="B255" t="s">
        <v>132</v>
      </c>
      <c r="C255" t="s">
        <v>178</v>
      </c>
      <c r="D255" t="s">
        <v>179</v>
      </c>
      <c r="E255">
        <v>2017</v>
      </c>
      <c r="F255" s="3">
        <v>-8104.12</v>
      </c>
      <c r="G255" s="2">
        <v>0</v>
      </c>
      <c r="H255" s="2">
        <v>0</v>
      </c>
      <c r="I255" s="2">
        <v>0</v>
      </c>
      <c r="J255" s="2">
        <v>0</v>
      </c>
      <c r="K255" s="2">
        <f>Q255</f>
        <v>8104.12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3">
        <f t="shared" si="3"/>
        <v>8104.12</v>
      </c>
    </row>
    <row r="256" spans="1:17">
      <c r="A256" t="s">
        <v>132</v>
      </c>
      <c r="B256" t="s">
        <v>132</v>
      </c>
      <c r="C256" t="s">
        <v>156</v>
      </c>
      <c r="D256" t="s">
        <v>157</v>
      </c>
      <c r="E256">
        <v>2017</v>
      </c>
      <c r="F256" s="3">
        <v>-1836.61</v>
      </c>
      <c r="G256" s="14">
        <v>0</v>
      </c>
      <c r="H256" s="14">
        <v>0</v>
      </c>
      <c r="I256" s="14">
        <f>'Omzet&amp;Prijs'!$C$55/SUM('Omzet&amp;Prijs'!$C$52:$C$57)*$Q256</f>
        <v>265.66343990245662</v>
      </c>
      <c r="J256" s="14">
        <f>'Omzet&amp;Prijs'!$C$56/SUM('Omzet&amp;Prijs'!$C$52:$C$57)*$Q256</f>
        <v>321.42834847892681</v>
      </c>
      <c r="K256" s="14">
        <f>'Omzet&amp;Prijs'!$C$54/SUM('Omzet&amp;Prijs'!$C$52:$C$57)*$Q256</f>
        <v>317.30207190782988</v>
      </c>
      <c r="L256" s="14">
        <v>0</v>
      </c>
      <c r="M256" s="14">
        <v>0</v>
      </c>
      <c r="N256" s="14">
        <f>'Omzet&amp;Prijs'!$C$52/SUM('Omzet&amp;Prijs'!$C$52:$C$57)*$Q256</f>
        <v>538.52207457576344</v>
      </c>
      <c r="O256" s="14">
        <f>'Omzet&amp;Prijs'!$C$57/SUM('Omzet&amp;Prijs'!$C$52:$C$57)*$Q256</f>
        <v>264.92414868346839</v>
      </c>
      <c r="P256" s="14">
        <f>'Omzet&amp;Prijs'!$C$53/SUM('Omzet&amp;Prijs'!$C$52:$C$57)*$Q256</f>
        <v>128.76991645155476</v>
      </c>
      <c r="Q256" s="3">
        <f t="shared" si="3"/>
        <v>1836.61</v>
      </c>
    </row>
    <row r="257" spans="1:17" hidden="1">
      <c r="A257" t="s">
        <v>132</v>
      </c>
      <c r="B257" t="s">
        <v>119</v>
      </c>
      <c r="C257" t="s">
        <v>158</v>
      </c>
      <c r="D257" t="s">
        <v>159</v>
      </c>
      <c r="E257">
        <v>2017</v>
      </c>
      <c r="F257" s="3">
        <v>0</v>
      </c>
      <c r="G257"/>
      <c r="H257"/>
      <c r="I257"/>
      <c r="J257"/>
      <c r="K257"/>
      <c r="L257"/>
      <c r="M257"/>
      <c r="N257"/>
      <c r="O257"/>
      <c r="P257"/>
      <c r="Q257" s="3">
        <f t="shared" si="3"/>
        <v>0</v>
      </c>
    </row>
    <row r="258" spans="1:17">
      <c r="A258" t="s">
        <v>132</v>
      </c>
      <c r="B258" t="s">
        <v>132</v>
      </c>
      <c r="C258" t="s">
        <v>160</v>
      </c>
      <c r="D258" t="s">
        <v>161</v>
      </c>
      <c r="E258">
        <v>2017</v>
      </c>
      <c r="F258" s="3">
        <f>8729.01+856+32426.1+3743.45</f>
        <v>45754.559999999998</v>
      </c>
      <c r="G258" s="10">
        <v>0</v>
      </c>
      <c r="H258" s="10">
        <v>0</v>
      </c>
      <c r="I258" s="10">
        <f>'Omzet&amp;Prijs'!$C$55/(SUM('Omzet&amp;Prijs'!$C$52:$C$57)-'Omzet&amp;Prijs'!$C$57)*$Q258</f>
        <v>7733.9334642742861</v>
      </c>
      <c r="J258" s="10">
        <f>'Omzet&amp;Prijs'!$C$56/(SUM('Omzet&amp;Prijs'!$C$52:$C$57)-'Omzet&amp;Prijs'!$C$57)*$Q258</f>
        <v>9357.3487627064405</v>
      </c>
      <c r="K258" s="10">
        <f>'Omzet&amp;Prijs'!$C$54/(SUM('Omzet&amp;Prijs'!$C$52:$C$57)-'Omzet&amp;Prijs'!$C$57)*$Q258</f>
        <v>9237.2255403775616</v>
      </c>
      <c r="L258" s="10">
        <v>0</v>
      </c>
      <c r="M258" s="10">
        <v>0</v>
      </c>
      <c r="N258" s="10">
        <f>'Omzet&amp;Prijs'!$C$52/(SUM('Omzet&amp;Prijs'!$C$46:$C$51)-'Omzet&amp;Prijs'!$C$57)*$Q258</f>
        <v>8561.9171562777701</v>
      </c>
      <c r="O258" s="10">
        <v>0</v>
      </c>
      <c r="P258" s="10">
        <f>'Omzet&amp;Prijs'!$C$53/(SUM('Omzet&amp;Prijs'!$C$52:$C$57)-'Omzet&amp;Prijs'!$C$57)*$Q258</f>
        <v>3748.7204351571536</v>
      </c>
      <c r="Q258" s="3">
        <f t="shared" ref="Q258:Q268" si="4">IF(F258&lt;0,F258*-1,F258)</f>
        <v>45754.559999999998</v>
      </c>
    </row>
    <row r="259" spans="1:17" hidden="1">
      <c r="A259" t="s">
        <v>132</v>
      </c>
      <c r="B259" t="s">
        <v>122</v>
      </c>
      <c r="C259" t="s">
        <v>162</v>
      </c>
      <c r="D259" t="s">
        <v>163</v>
      </c>
      <c r="E259">
        <v>2017</v>
      </c>
      <c r="F259" s="3">
        <v>0</v>
      </c>
      <c r="G259"/>
      <c r="H259"/>
      <c r="I259"/>
      <c r="J259"/>
      <c r="K259"/>
      <c r="L259"/>
      <c r="M259"/>
      <c r="N259"/>
      <c r="O259"/>
      <c r="P259"/>
      <c r="Q259" s="3">
        <f t="shared" si="4"/>
        <v>0</v>
      </c>
    </row>
    <row r="260" spans="1:17">
      <c r="A260" t="s">
        <v>132</v>
      </c>
      <c r="B260" t="s">
        <v>132</v>
      </c>
      <c r="C260" t="s">
        <v>156</v>
      </c>
      <c r="D260" t="s">
        <v>167</v>
      </c>
      <c r="E260">
        <v>2017</v>
      </c>
      <c r="F260" s="3">
        <v>0</v>
      </c>
      <c r="G260" s="14">
        <v>0</v>
      </c>
      <c r="H260" s="14">
        <v>0</v>
      </c>
      <c r="I260" s="14">
        <f>'Omzet&amp;Prijs'!$C$55/SUM('Omzet&amp;Prijs'!$C$52:$C$57)*$Q260</f>
        <v>0</v>
      </c>
      <c r="J260" s="14">
        <f>'Omzet&amp;Prijs'!$C$56/SUM('Omzet&amp;Prijs'!$C$52:$C$57)*$Q260</f>
        <v>0</v>
      </c>
      <c r="K260" s="14">
        <f>'Omzet&amp;Prijs'!$C$54/SUM('Omzet&amp;Prijs'!$C$52:$C$57)*$Q260</f>
        <v>0</v>
      </c>
      <c r="L260" s="14">
        <v>0</v>
      </c>
      <c r="M260" s="14">
        <v>0</v>
      </c>
      <c r="N260" s="14">
        <f>'Omzet&amp;Prijs'!$C$52/SUM('Omzet&amp;Prijs'!$C$52:$C$57)*$Q260</f>
        <v>0</v>
      </c>
      <c r="O260" s="14">
        <f>'Omzet&amp;Prijs'!$C$57/SUM('Omzet&amp;Prijs'!$C$52:$C$57)*$Q260</f>
        <v>0</v>
      </c>
      <c r="P260" s="14">
        <f>'Omzet&amp;Prijs'!$C$53/SUM('Omzet&amp;Prijs'!$C$52:$C$57)*$Q260</f>
        <v>0</v>
      </c>
      <c r="Q260" s="3">
        <f t="shared" si="4"/>
        <v>0</v>
      </c>
    </row>
    <row r="261" spans="1:17">
      <c r="A261" t="s">
        <v>132</v>
      </c>
      <c r="B261" t="s">
        <v>132</v>
      </c>
      <c r="C261" t="s">
        <v>165</v>
      </c>
      <c r="D261" t="s">
        <v>165</v>
      </c>
      <c r="E261">
        <v>2017</v>
      </c>
      <c r="F261" s="3">
        <v>400</v>
      </c>
      <c r="G261" s="14">
        <v>0</v>
      </c>
      <c r="H261" s="14">
        <v>0</v>
      </c>
      <c r="I261" s="14">
        <f>'Omzet&amp;Prijs'!$C$55/SUM('Omzet&amp;Prijs'!$C$52:$C$57)*$Q261</f>
        <v>57.859521597390106</v>
      </c>
      <c r="J261" s="14">
        <f>'Omzet&amp;Prijs'!$C$56/SUM('Omzet&amp;Prijs'!$C$52:$C$57)*$Q261</f>
        <v>70.004703988092587</v>
      </c>
      <c r="K261" s="14">
        <f>'Omzet&amp;Prijs'!$C$54/SUM('Omzet&amp;Prijs'!$C$52:$C$57)*$Q261</f>
        <v>69.106031636075144</v>
      </c>
      <c r="L261" s="14">
        <v>0</v>
      </c>
      <c r="M261" s="14">
        <v>0</v>
      </c>
      <c r="N261" s="14">
        <f>'Omzet&amp;Prijs'!$C$52/SUM('Omzet&amp;Prijs'!$C$52:$C$57)*$Q261</f>
        <v>117.28610310861063</v>
      </c>
      <c r="O261" s="14">
        <f>'Omzet&amp;Prijs'!$C$57/SUM('Omzet&amp;Prijs'!$C$52:$C$57)*$Q261</f>
        <v>57.698509467653651</v>
      </c>
      <c r="P261" s="14">
        <f>'Omzet&amp;Prijs'!$C$53/SUM('Omzet&amp;Prijs'!$C$52:$C$57)*$Q261</f>
        <v>28.045130202177877</v>
      </c>
      <c r="Q261" s="3">
        <f t="shared" si="4"/>
        <v>400</v>
      </c>
    </row>
    <row r="262" spans="1:17" hidden="1">
      <c r="A262" t="s">
        <v>132</v>
      </c>
      <c r="B262" t="s">
        <v>122</v>
      </c>
      <c r="C262" t="s">
        <v>166</v>
      </c>
      <c r="D262" t="s">
        <v>166</v>
      </c>
      <c r="E262">
        <v>2017</v>
      </c>
      <c r="F262" s="3">
        <f>250.07+393.58+963.4+-9452.03</f>
        <v>-7844.9800000000005</v>
      </c>
      <c r="G262"/>
      <c r="H262"/>
      <c r="I262"/>
      <c r="J262"/>
      <c r="K262"/>
      <c r="L262"/>
      <c r="M262"/>
      <c r="N262"/>
      <c r="O262"/>
      <c r="P262"/>
      <c r="Q262" s="3">
        <f t="shared" si="4"/>
        <v>7844.9800000000005</v>
      </c>
    </row>
    <row r="263" spans="1:17">
      <c r="A263" t="s">
        <v>132</v>
      </c>
      <c r="B263" t="s">
        <v>132</v>
      </c>
      <c r="C263" t="s">
        <v>168</v>
      </c>
      <c r="D263" t="s">
        <v>169</v>
      </c>
      <c r="E263">
        <v>2017</v>
      </c>
      <c r="F263" s="3">
        <v>7750.6</v>
      </c>
      <c r="G263" s="14">
        <v>0</v>
      </c>
      <c r="H263" s="14">
        <v>0</v>
      </c>
      <c r="I263" s="14">
        <f>'Omzet&amp;Prijs'!$C$55/SUM('Omzet&amp;Prijs'!$C$52:$C$57)*$Q263</f>
        <v>1121.1150202318295</v>
      </c>
      <c r="J263" s="14">
        <f>'Omzet&amp;Prijs'!$C$56/SUM('Omzet&amp;Prijs'!$C$52:$C$57)*$Q263</f>
        <v>1356.4461468252762</v>
      </c>
      <c r="K263" s="14">
        <f>'Omzet&amp;Prijs'!$C$54/SUM('Omzet&amp;Prijs'!$C$52:$C$57)*$Q263</f>
        <v>1339.0330219964101</v>
      </c>
      <c r="L263" s="14">
        <v>0</v>
      </c>
      <c r="M263" s="14">
        <v>0</v>
      </c>
      <c r="N263" s="14">
        <f>'Omzet&amp;Prijs'!$C$52/SUM('Omzet&amp;Prijs'!$C$52:$C$57)*$Q263</f>
        <v>2272.5941768839939</v>
      </c>
      <c r="O263" s="14">
        <f>'Omzet&amp;Prijs'!$C$57/SUM('Omzet&amp;Prijs'!$C$52:$C$57)*$Q263</f>
        <v>1117.9951686999909</v>
      </c>
      <c r="P263" s="14">
        <f>'Omzet&amp;Prijs'!$C$53/SUM('Omzet&amp;Prijs'!$C$52:$C$57)*$Q263</f>
        <v>543.41646536249959</v>
      </c>
      <c r="Q263" s="3">
        <f t="shared" si="4"/>
        <v>7750.6</v>
      </c>
    </row>
    <row r="264" spans="1:17">
      <c r="A264" t="s">
        <v>132</v>
      </c>
      <c r="B264" t="s">
        <v>132</v>
      </c>
      <c r="C264" t="s">
        <v>156</v>
      </c>
      <c r="D264" t="s">
        <v>170</v>
      </c>
      <c r="E264">
        <v>2017</v>
      </c>
      <c r="F264" s="3">
        <v>100</v>
      </c>
      <c r="G264" s="14">
        <v>0</v>
      </c>
      <c r="H264" s="14">
        <v>0</v>
      </c>
      <c r="I264" s="14">
        <f>'Omzet&amp;Prijs'!$C$55/SUM('Omzet&amp;Prijs'!$C$52:$C$57)*$Q264</f>
        <v>14.464880399347527</v>
      </c>
      <c r="J264" s="14">
        <f>'Omzet&amp;Prijs'!$C$56/SUM('Omzet&amp;Prijs'!$C$52:$C$57)*$Q264</f>
        <v>17.501175997023147</v>
      </c>
      <c r="K264" s="14">
        <f>'Omzet&amp;Prijs'!$C$54/SUM('Omzet&amp;Prijs'!$C$52:$C$57)*$Q264</f>
        <v>17.276507909018786</v>
      </c>
      <c r="L264" s="14">
        <v>0</v>
      </c>
      <c r="M264" s="14">
        <v>0</v>
      </c>
      <c r="N264" s="14">
        <f>'Omzet&amp;Prijs'!$C$52/SUM('Omzet&amp;Prijs'!$C$52:$C$57)*$Q264</f>
        <v>29.321525777152658</v>
      </c>
      <c r="O264" s="14">
        <f>'Omzet&amp;Prijs'!$C$57/SUM('Omzet&amp;Prijs'!$C$52:$C$57)*$Q264</f>
        <v>14.424627366913413</v>
      </c>
      <c r="P264" s="14">
        <f>'Omzet&amp;Prijs'!$C$53/SUM('Omzet&amp;Prijs'!$C$52:$C$57)*$Q264</f>
        <v>7.0112825505444691</v>
      </c>
      <c r="Q264" s="3">
        <f t="shared" si="4"/>
        <v>100</v>
      </c>
    </row>
    <row r="265" spans="1:17">
      <c r="A265" t="s">
        <v>132</v>
      </c>
      <c r="B265" t="s">
        <v>132</v>
      </c>
      <c r="C265" t="s">
        <v>171</v>
      </c>
      <c r="D265" t="s">
        <v>172</v>
      </c>
      <c r="E265">
        <v>2017</v>
      </c>
      <c r="F265" s="3">
        <v>4185</v>
      </c>
      <c r="G265" s="14">
        <v>0</v>
      </c>
      <c r="H265" s="14">
        <v>0</v>
      </c>
      <c r="I265" s="14">
        <f>'Omzet&amp;Prijs'!$C$55/SUM('Omzet&amp;Prijs'!$C$52:$C$57)*$Q265</f>
        <v>605.355244712694</v>
      </c>
      <c r="J265" s="14">
        <f>'Omzet&amp;Prijs'!$C$56/SUM('Omzet&amp;Prijs'!$C$52:$C$57)*$Q265</f>
        <v>732.42421547541869</v>
      </c>
      <c r="K265" s="14">
        <f>'Omzet&amp;Prijs'!$C$54/SUM('Omzet&amp;Prijs'!$C$52:$C$57)*$Q265</f>
        <v>723.02185599243614</v>
      </c>
      <c r="L265" s="14">
        <v>0</v>
      </c>
      <c r="M265" s="14">
        <v>0</v>
      </c>
      <c r="N265" s="14">
        <f>'Omzet&amp;Prijs'!$C$52/SUM('Omzet&amp;Prijs'!$C$52:$C$57)*$Q265</f>
        <v>1227.1058537738386</v>
      </c>
      <c r="O265" s="14">
        <f>'Omzet&amp;Prijs'!$C$57/SUM('Omzet&amp;Prijs'!$C$52:$C$57)*$Q265</f>
        <v>603.67065530532625</v>
      </c>
      <c r="P265" s="14">
        <f>'Omzet&amp;Prijs'!$C$53/SUM('Omzet&amp;Prijs'!$C$52:$C$57)*$Q265</f>
        <v>293.42217474028604</v>
      </c>
      <c r="Q265" s="3">
        <f t="shared" si="4"/>
        <v>4185</v>
      </c>
    </row>
    <row r="266" spans="1:17" hidden="1">
      <c r="A266" t="s">
        <v>118</v>
      </c>
      <c r="B266" t="s">
        <v>122</v>
      </c>
      <c r="C266" t="s">
        <v>154</v>
      </c>
      <c r="D266" t="s">
        <v>173</v>
      </c>
      <c r="E266">
        <v>2017</v>
      </c>
      <c r="F266" s="3">
        <v>0</v>
      </c>
      <c r="G266"/>
      <c r="H266"/>
      <c r="I266"/>
      <c r="J266"/>
      <c r="K266"/>
      <c r="L266"/>
      <c r="M266"/>
      <c r="N266"/>
      <c r="O266"/>
      <c r="P266"/>
      <c r="Q266" s="3">
        <f t="shared" si="4"/>
        <v>0</v>
      </c>
    </row>
    <row r="267" spans="1:17" hidden="1">
      <c r="A267" t="s">
        <v>132</v>
      </c>
      <c r="B267" t="s">
        <v>122</v>
      </c>
      <c r="C267" t="s">
        <v>174</v>
      </c>
      <c r="D267" t="s">
        <v>175</v>
      </c>
      <c r="E267">
        <v>2017</v>
      </c>
      <c r="F267" s="3">
        <v>0</v>
      </c>
      <c r="G267"/>
      <c r="H267"/>
      <c r="I267"/>
      <c r="J267"/>
      <c r="K267"/>
      <c r="L267"/>
      <c r="M267"/>
      <c r="N267"/>
      <c r="O267"/>
      <c r="P267"/>
      <c r="Q267" s="3">
        <f t="shared" si="4"/>
        <v>0</v>
      </c>
    </row>
    <row r="268" spans="1:17">
      <c r="A268" t="s">
        <v>132</v>
      </c>
      <c r="B268" t="s">
        <v>132</v>
      </c>
      <c r="C268" t="s">
        <v>176</v>
      </c>
      <c r="D268" t="s">
        <v>177</v>
      </c>
      <c r="E268">
        <v>2017</v>
      </c>
      <c r="F268" s="3">
        <v>0</v>
      </c>
      <c r="G268" s="14">
        <v>0</v>
      </c>
      <c r="H268" s="14">
        <v>0</v>
      </c>
      <c r="I268" s="14">
        <f>'Omzet&amp;Prijs'!$C$55/SUM('Omzet&amp;Prijs'!$C$52:$C$57)*$Q268</f>
        <v>0</v>
      </c>
      <c r="J268" s="14">
        <f>'Omzet&amp;Prijs'!$C$56/SUM('Omzet&amp;Prijs'!$C$52:$C$57)*$Q268</f>
        <v>0</v>
      </c>
      <c r="K268" s="14">
        <f>'Omzet&amp;Prijs'!$C$54/SUM('Omzet&amp;Prijs'!$C$52:$C$57)*$Q268</f>
        <v>0</v>
      </c>
      <c r="L268" s="14">
        <v>0</v>
      </c>
      <c r="M268" s="14">
        <v>0</v>
      </c>
      <c r="N268" s="14">
        <f>'Omzet&amp;Prijs'!$C$52/SUM('Omzet&amp;Prijs'!$C$52:$C$57)*$Q268</f>
        <v>0</v>
      </c>
      <c r="O268" s="14">
        <f>'Omzet&amp;Prijs'!$C$57/SUM('Omzet&amp;Prijs'!$C$52:$C$57)*$Q268</f>
        <v>0</v>
      </c>
      <c r="P268" s="14">
        <f>'Omzet&amp;Prijs'!$C$53/SUM('Omzet&amp;Prijs'!$C$52:$C$57)*$Q268</f>
        <v>0</v>
      </c>
      <c r="Q268" s="3">
        <f t="shared" si="4"/>
        <v>0</v>
      </c>
    </row>
  </sheetData>
  <autoFilter ref="A1:F268" xr:uid="{E5D86739-EF26-4605-8293-38383923F428}">
    <filterColumn colId="1">
      <filters>
        <filter val="Kosten"/>
      </filters>
    </filterColumn>
  </autoFilter>
  <pageMargins left="0" right="0" top="0.39409448818897641" bottom="0.39409448818897641" header="0" footer="0"/>
  <pageSetup orientation="portrait" verticalDpi="0" r:id="rId1"/>
  <headerFooter>
    <oddHeader>&amp;C&amp;A</oddHeader>
    <oddFooter>&amp;CPagina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7"/>
  <sheetViews>
    <sheetView workbookViewId="0">
      <selection activeCell="B52" sqref="B52:B57"/>
    </sheetView>
  </sheetViews>
  <sheetFormatPr defaultRowHeight="13.9"/>
  <cols>
    <col min="1" max="1" width="8.75" bestFit="1" customWidth="1"/>
    <col min="2" max="2" width="18.375" bestFit="1" customWidth="1"/>
    <col min="3" max="3" width="16.25" style="1" bestFit="1" customWidth="1"/>
    <col min="4" max="4" width="12.625" style="2" bestFit="1" customWidth="1"/>
    <col min="5" max="5" width="12.5" style="3" bestFit="1" customWidth="1"/>
    <col min="7" max="7" width="53.625" bestFit="1" customWidth="1"/>
  </cols>
  <sheetData>
    <row r="1" spans="1:7">
      <c r="A1" s="5" t="s">
        <v>105</v>
      </c>
      <c r="B1" s="5" t="s">
        <v>3</v>
      </c>
      <c r="C1" s="6" t="s">
        <v>186</v>
      </c>
      <c r="D1" s="7" t="s">
        <v>120</v>
      </c>
      <c r="E1" s="8" t="s">
        <v>187</v>
      </c>
    </row>
    <row r="2" spans="1:7">
      <c r="A2">
        <v>2010</v>
      </c>
      <c r="B2" t="s">
        <v>188</v>
      </c>
      <c r="C2" s="1">
        <v>6709</v>
      </c>
      <c r="D2" s="2">
        <v>1582.415</v>
      </c>
      <c r="E2" s="3">
        <f t="shared" ref="E2:E33" si="0">D2/C2</f>
        <v>0.23586451035921896</v>
      </c>
      <c r="G2" t="s">
        <v>189</v>
      </c>
    </row>
    <row r="3" spans="1:7">
      <c r="A3">
        <v>2010</v>
      </c>
      <c r="B3" t="s">
        <v>10</v>
      </c>
      <c r="C3" s="1">
        <v>196224</v>
      </c>
      <c r="D3" s="2">
        <v>82199.899999999994</v>
      </c>
      <c r="E3" s="3">
        <f t="shared" si="0"/>
        <v>0.41890849233529026</v>
      </c>
      <c r="G3" t="s">
        <v>190</v>
      </c>
    </row>
    <row r="4" spans="1:7">
      <c r="A4">
        <v>2010</v>
      </c>
      <c r="B4" t="s">
        <v>15</v>
      </c>
      <c r="C4" s="1">
        <v>53065</v>
      </c>
      <c r="D4" s="2">
        <v>17030.827000000001</v>
      </c>
      <c r="E4" s="3">
        <f t="shared" si="0"/>
        <v>0.32094274945821166</v>
      </c>
    </row>
    <row r="5" spans="1:7">
      <c r="A5">
        <v>2010</v>
      </c>
      <c r="B5" t="s">
        <v>60</v>
      </c>
      <c r="C5" s="1">
        <v>83067</v>
      </c>
      <c r="D5" s="2">
        <v>29570.305</v>
      </c>
      <c r="E5" s="3">
        <f t="shared" si="0"/>
        <v>0.35598137647922762</v>
      </c>
    </row>
    <row r="6" spans="1:7">
      <c r="A6">
        <v>2010</v>
      </c>
      <c r="B6" t="s">
        <v>191</v>
      </c>
      <c r="C6" s="1">
        <v>4100</v>
      </c>
      <c r="D6" s="2">
        <v>1633.8</v>
      </c>
      <c r="E6" s="3">
        <f t="shared" si="0"/>
        <v>0.39848780487804875</v>
      </c>
    </row>
    <row r="7" spans="1:7">
      <c r="A7">
        <v>2010</v>
      </c>
      <c r="B7" t="s">
        <v>192</v>
      </c>
      <c r="C7" s="1">
        <v>66385.3</v>
      </c>
      <c r="D7" s="2">
        <v>6496.5190000000002</v>
      </c>
      <c r="E7" s="3">
        <f t="shared" si="0"/>
        <v>9.7860806533976649E-2</v>
      </c>
    </row>
    <row r="8" spans="1:7">
      <c r="A8">
        <v>2010</v>
      </c>
      <c r="B8" t="s">
        <v>24</v>
      </c>
      <c r="C8" s="1">
        <v>60627</v>
      </c>
      <c r="D8" s="2">
        <v>53264.017999999996</v>
      </c>
      <c r="E8" s="3">
        <f t="shared" si="0"/>
        <v>0.87855275702244873</v>
      </c>
    </row>
    <row r="9" spans="1:7">
      <c r="A9">
        <v>2011</v>
      </c>
      <c r="B9" t="s">
        <v>188</v>
      </c>
      <c r="C9" s="1">
        <v>7222.5</v>
      </c>
      <c r="D9" s="2">
        <v>2976.4250000000002</v>
      </c>
      <c r="E9" s="3">
        <f t="shared" si="0"/>
        <v>0.41210453444098305</v>
      </c>
    </row>
    <row r="10" spans="1:7">
      <c r="A10">
        <v>2011</v>
      </c>
      <c r="B10" t="s">
        <v>10</v>
      </c>
      <c r="C10" s="1">
        <v>71767</v>
      </c>
      <c r="D10" s="2">
        <v>39141.241000000002</v>
      </c>
      <c r="E10" s="3">
        <f t="shared" si="0"/>
        <v>0.54539330054203183</v>
      </c>
    </row>
    <row r="11" spans="1:7">
      <c r="A11">
        <v>2011</v>
      </c>
      <c r="B11" t="s">
        <v>15</v>
      </c>
      <c r="C11" s="1">
        <v>40600</v>
      </c>
      <c r="D11" s="2">
        <v>20415.366000000002</v>
      </c>
      <c r="E11" s="3">
        <f t="shared" si="0"/>
        <v>0.50284152709359609</v>
      </c>
    </row>
    <row r="12" spans="1:7">
      <c r="A12">
        <v>2011</v>
      </c>
      <c r="B12" t="s">
        <v>60</v>
      </c>
      <c r="C12" s="1">
        <v>56868</v>
      </c>
      <c r="D12" s="2">
        <v>28508.649000000001</v>
      </c>
      <c r="E12" s="3">
        <f t="shared" si="0"/>
        <v>0.50131267144967295</v>
      </c>
    </row>
    <row r="13" spans="1:7">
      <c r="A13">
        <v>2011</v>
      </c>
      <c r="B13" t="s">
        <v>191</v>
      </c>
      <c r="C13" s="1">
        <v>13097.5</v>
      </c>
      <c r="D13" s="2">
        <v>2451.4</v>
      </c>
      <c r="E13" s="3">
        <f t="shared" si="0"/>
        <v>0.18716548959725138</v>
      </c>
    </row>
    <row r="14" spans="1:7">
      <c r="A14">
        <v>2011</v>
      </c>
      <c r="B14" t="s">
        <v>192</v>
      </c>
      <c r="C14" s="1">
        <v>80368</v>
      </c>
      <c r="D14" s="2">
        <v>13457.964</v>
      </c>
      <c r="E14" s="3">
        <f t="shared" si="0"/>
        <v>0.16745426040215011</v>
      </c>
    </row>
    <row r="15" spans="1:7">
      <c r="A15">
        <v>2011</v>
      </c>
      <c r="B15" t="s">
        <v>193</v>
      </c>
      <c r="C15" s="1">
        <v>275</v>
      </c>
      <c r="D15" s="2">
        <v>173.25</v>
      </c>
      <c r="E15" s="3">
        <f t="shared" si="0"/>
        <v>0.63</v>
      </c>
    </row>
    <row r="16" spans="1:7">
      <c r="A16">
        <v>2011</v>
      </c>
      <c r="B16" t="s">
        <v>24</v>
      </c>
      <c r="C16" s="1">
        <v>46800.5</v>
      </c>
      <c r="D16" s="2">
        <v>44666.394</v>
      </c>
      <c r="E16" s="3">
        <f t="shared" si="0"/>
        <v>0.95439993162466219</v>
      </c>
    </row>
    <row r="17" spans="1:5">
      <c r="A17">
        <v>2012</v>
      </c>
      <c r="B17" t="s">
        <v>188</v>
      </c>
      <c r="C17" s="1">
        <v>12312</v>
      </c>
      <c r="D17" s="2">
        <v>4570.0119999999997</v>
      </c>
      <c r="E17" s="3">
        <f t="shared" si="0"/>
        <v>0.37118356075373615</v>
      </c>
    </row>
    <row r="18" spans="1:5">
      <c r="A18">
        <v>2012</v>
      </c>
      <c r="B18" t="s">
        <v>10</v>
      </c>
      <c r="C18" s="1">
        <v>267632</v>
      </c>
      <c r="D18" s="2">
        <v>138378.18400000001</v>
      </c>
      <c r="E18" s="3">
        <f t="shared" si="0"/>
        <v>0.51704648173611534</v>
      </c>
    </row>
    <row r="19" spans="1:5">
      <c r="A19">
        <v>2012</v>
      </c>
      <c r="B19" t="s">
        <v>15</v>
      </c>
      <c r="C19" s="1">
        <v>56853</v>
      </c>
      <c r="D19" s="2">
        <v>23922.133999999998</v>
      </c>
      <c r="E19" s="3">
        <f t="shared" si="0"/>
        <v>0.42077170949642057</v>
      </c>
    </row>
    <row r="20" spans="1:5">
      <c r="A20">
        <v>2012</v>
      </c>
      <c r="B20" t="s">
        <v>60</v>
      </c>
      <c r="C20" s="1">
        <v>40462</v>
      </c>
      <c r="D20" s="2">
        <v>16744.969000000001</v>
      </c>
      <c r="E20" s="3">
        <f t="shared" si="0"/>
        <v>0.41384432306855817</v>
      </c>
    </row>
    <row r="21" spans="1:5">
      <c r="A21">
        <v>2012</v>
      </c>
      <c r="B21" t="s">
        <v>191</v>
      </c>
      <c r="C21" s="1">
        <v>28855</v>
      </c>
      <c r="D21" s="2">
        <v>15160.793</v>
      </c>
      <c r="E21" s="3">
        <f t="shared" si="0"/>
        <v>0.52541303067059431</v>
      </c>
    </row>
    <row r="22" spans="1:5">
      <c r="A22">
        <v>2012</v>
      </c>
      <c r="B22" t="s">
        <v>192</v>
      </c>
      <c r="C22" s="1">
        <v>70885</v>
      </c>
      <c r="D22" s="2">
        <v>14129.806</v>
      </c>
      <c r="E22" s="3">
        <f t="shared" si="0"/>
        <v>0.19933421739437118</v>
      </c>
    </row>
    <row r="23" spans="1:5">
      <c r="A23">
        <v>2012</v>
      </c>
      <c r="B23" t="s">
        <v>193</v>
      </c>
      <c r="C23" s="1">
        <v>1011</v>
      </c>
      <c r="D23" s="2">
        <v>537.62699999999995</v>
      </c>
      <c r="E23" s="3">
        <f t="shared" si="0"/>
        <v>0.53177744807121652</v>
      </c>
    </row>
    <row r="24" spans="1:5">
      <c r="A24">
        <v>2012</v>
      </c>
      <c r="B24" t="s">
        <v>24</v>
      </c>
      <c r="C24" s="1">
        <v>79358.3</v>
      </c>
      <c r="D24" s="2">
        <v>64554.777999999998</v>
      </c>
      <c r="E24" s="3">
        <f t="shared" si="0"/>
        <v>0.81345968852659389</v>
      </c>
    </row>
    <row r="25" spans="1:5">
      <c r="A25">
        <v>2013</v>
      </c>
      <c r="B25" t="s">
        <v>188</v>
      </c>
      <c r="C25" s="1">
        <v>19226.5</v>
      </c>
      <c r="D25" s="2">
        <v>9032.0840000000007</v>
      </c>
      <c r="E25" s="3">
        <f t="shared" si="0"/>
        <v>0.46977265752997172</v>
      </c>
    </row>
    <row r="26" spans="1:5">
      <c r="A26">
        <v>2013</v>
      </c>
      <c r="B26" t="s">
        <v>10</v>
      </c>
      <c r="C26" s="1">
        <v>117042</v>
      </c>
      <c r="D26" s="2">
        <v>80138.691000000006</v>
      </c>
      <c r="E26" s="3">
        <f t="shared" si="0"/>
        <v>0.68470028707643416</v>
      </c>
    </row>
    <row r="27" spans="1:5">
      <c r="A27">
        <v>2013</v>
      </c>
      <c r="B27" t="s">
        <v>15</v>
      </c>
      <c r="C27" s="1">
        <v>53910</v>
      </c>
      <c r="D27" s="2">
        <v>30008.882000000001</v>
      </c>
      <c r="E27" s="3">
        <f t="shared" si="0"/>
        <v>0.55664778334260812</v>
      </c>
    </row>
    <row r="28" spans="1:5">
      <c r="A28">
        <v>2013</v>
      </c>
      <c r="B28" t="s">
        <v>191</v>
      </c>
      <c r="C28" s="1">
        <v>92560.5</v>
      </c>
      <c r="D28" s="2">
        <v>57016.273999999998</v>
      </c>
      <c r="E28" s="3">
        <f t="shared" si="0"/>
        <v>0.61598926107788954</v>
      </c>
    </row>
    <row r="29" spans="1:5">
      <c r="A29">
        <v>2013</v>
      </c>
      <c r="B29" t="s">
        <v>192</v>
      </c>
      <c r="C29" s="1">
        <v>68265</v>
      </c>
      <c r="D29" s="2">
        <v>12489.402</v>
      </c>
      <c r="E29" s="3">
        <f t="shared" si="0"/>
        <v>0.18295469127664249</v>
      </c>
    </row>
    <row r="30" spans="1:5">
      <c r="A30">
        <v>2013</v>
      </c>
      <c r="B30" t="s">
        <v>24</v>
      </c>
      <c r="C30" s="1">
        <v>48320.2</v>
      </c>
      <c r="D30" s="2">
        <v>49286.076000000001</v>
      </c>
      <c r="E30" s="3">
        <f t="shared" si="0"/>
        <v>1.0199890728929102</v>
      </c>
    </row>
    <row r="31" spans="1:5">
      <c r="A31">
        <v>2014</v>
      </c>
      <c r="B31" t="s">
        <v>188</v>
      </c>
      <c r="C31" s="1">
        <v>33148.5</v>
      </c>
      <c r="D31" s="2">
        <v>10192.93</v>
      </c>
      <c r="E31" s="3">
        <f t="shared" si="0"/>
        <v>0.30749294839887176</v>
      </c>
    </row>
    <row r="32" spans="1:5">
      <c r="A32">
        <v>2014</v>
      </c>
      <c r="B32" t="s">
        <v>24</v>
      </c>
      <c r="C32" s="1">
        <v>74331.5</v>
      </c>
      <c r="D32" s="2">
        <v>62495.73</v>
      </c>
      <c r="E32" s="3">
        <f t="shared" si="0"/>
        <v>0.84077046743305328</v>
      </c>
    </row>
    <row r="33" spans="1:5">
      <c r="A33">
        <v>2014</v>
      </c>
      <c r="B33" t="s">
        <v>10</v>
      </c>
      <c r="C33" s="1">
        <v>147559</v>
      </c>
      <c r="D33" s="2">
        <v>76671.914999999994</v>
      </c>
      <c r="E33" s="3">
        <f t="shared" si="0"/>
        <v>0.51960175251933116</v>
      </c>
    </row>
    <row r="34" spans="1:5">
      <c r="A34">
        <v>2014</v>
      </c>
      <c r="B34" t="s">
        <v>15</v>
      </c>
      <c r="C34" s="1">
        <v>77219</v>
      </c>
      <c r="D34" s="2">
        <v>36267.300999999999</v>
      </c>
      <c r="E34" s="3">
        <f t="shared" ref="E34:E57" si="1">D34/C34</f>
        <v>0.46966809981999247</v>
      </c>
    </row>
    <row r="35" spans="1:5">
      <c r="A35">
        <v>2014</v>
      </c>
      <c r="B35" t="s">
        <v>194</v>
      </c>
      <c r="C35" s="1">
        <v>431</v>
      </c>
      <c r="D35" s="2">
        <v>167.57</v>
      </c>
      <c r="E35" s="3">
        <f t="shared" si="1"/>
        <v>0.38879350348027841</v>
      </c>
    </row>
    <row r="36" spans="1:5">
      <c r="A36">
        <v>2014</v>
      </c>
      <c r="B36" t="s">
        <v>191</v>
      </c>
      <c r="C36" s="1">
        <v>13114</v>
      </c>
      <c r="D36" s="2">
        <v>4604.4139999999998</v>
      </c>
      <c r="E36" s="3">
        <f t="shared" si="1"/>
        <v>0.35110675613847797</v>
      </c>
    </row>
    <row r="37" spans="1:5">
      <c r="A37">
        <v>2014</v>
      </c>
      <c r="B37" t="s">
        <v>192</v>
      </c>
      <c r="C37" s="1">
        <v>247755</v>
      </c>
      <c r="D37" s="2">
        <v>16469.987000000001</v>
      </c>
      <c r="E37" s="3">
        <f t="shared" si="1"/>
        <v>6.6476910657706209E-2</v>
      </c>
    </row>
    <row r="38" spans="1:5">
      <c r="A38">
        <v>2014</v>
      </c>
      <c r="B38" t="s">
        <v>193</v>
      </c>
      <c r="C38" s="1">
        <v>2640</v>
      </c>
      <c r="D38" s="2">
        <v>1145.748</v>
      </c>
      <c r="E38" s="3">
        <f t="shared" si="1"/>
        <v>0.43399545454545457</v>
      </c>
    </row>
    <row r="39" spans="1:5">
      <c r="A39">
        <v>2015</v>
      </c>
      <c r="B39" t="s">
        <v>24</v>
      </c>
      <c r="C39" s="1">
        <v>121528</v>
      </c>
      <c r="D39" s="2">
        <v>75991.16</v>
      </c>
      <c r="E39" s="3">
        <f t="shared" si="1"/>
        <v>0.62529754459877562</v>
      </c>
    </row>
    <row r="40" spans="1:5">
      <c r="A40">
        <v>2015</v>
      </c>
      <c r="B40" t="s">
        <v>188</v>
      </c>
      <c r="C40" s="1">
        <v>43484</v>
      </c>
      <c r="D40" s="2">
        <v>11395.24</v>
      </c>
      <c r="E40" s="3">
        <f t="shared" si="1"/>
        <v>0.2620559286174225</v>
      </c>
    </row>
    <row r="41" spans="1:5">
      <c r="A41">
        <v>2015</v>
      </c>
      <c r="B41" t="s">
        <v>21</v>
      </c>
      <c r="C41" s="1">
        <v>28575</v>
      </c>
      <c r="D41" s="2">
        <v>16419.764999999999</v>
      </c>
      <c r="E41" s="3">
        <f t="shared" si="1"/>
        <v>0.57461994750656165</v>
      </c>
    </row>
    <row r="42" spans="1:5">
      <c r="A42">
        <v>2015</v>
      </c>
      <c r="B42" t="s">
        <v>10</v>
      </c>
      <c r="C42" s="1">
        <v>94715</v>
      </c>
      <c r="D42" s="2">
        <v>37655.650999999998</v>
      </c>
      <c r="E42" s="3">
        <f t="shared" si="1"/>
        <v>0.3975679776170617</v>
      </c>
    </row>
    <row r="43" spans="1:5">
      <c r="A43">
        <v>2015</v>
      </c>
      <c r="B43" t="s">
        <v>15</v>
      </c>
      <c r="C43" s="1">
        <v>74309</v>
      </c>
      <c r="D43" s="2">
        <v>26733.056</v>
      </c>
      <c r="E43" s="3">
        <f t="shared" si="1"/>
        <v>0.35975529209113299</v>
      </c>
    </row>
    <row r="44" spans="1:5">
      <c r="A44">
        <v>2015</v>
      </c>
      <c r="B44" t="s">
        <v>192</v>
      </c>
      <c r="C44" s="1">
        <v>103083</v>
      </c>
      <c r="D44" s="2">
        <v>13271.216</v>
      </c>
      <c r="E44" s="3">
        <f t="shared" si="1"/>
        <v>0.12874301291192536</v>
      </c>
    </row>
    <row r="45" spans="1:5">
      <c r="A45">
        <v>2015</v>
      </c>
      <c r="B45" t="s">
        <v>193</v>
      </c>
      <c r="C45" s="1">
        <v>5845</v>
      </c>
      <c r="D45" s="2">
        <v>3781.1170000000002</v>
      </c>
      <c r="E45" s="3">
        <f t="shared" si="1"/>
        <v>0.64689769033361855</v>
      </c>
    </row>
    <row r="46" spans="1:5">
      <c r="A46">
        <v>2016</v>
      </c>
      <c r="B46" t="s">
        <v>24</v>
      </c>
      <c r="C46" s="1">
        <v>155051</v>
      </c>
      <c r="D46" s="2">
        <v>103763.11</v>
      </c>
      <c r="E46" s="3">
        <f t="shared" si="1"/>
        <v>0.66921922464221451</v>
      </c>
    </row>
    <row r="47" spans="1:5">
      <c r="A47">
        <v>2016</v>
      </c>
      <c r="B47" t="s">
        <v>188</v>
      </c>
      <c r="C47" s="1">
        <v>32065</v>
      </c>
      <c r="D47" s="2">
        <v>11304.772000000001</v>
      </c>
      <c r="E47" s="3">
        <f t="shared" si="1"/>
        <v>0.35255799157960394</v>
      </c>
    </row>
    <row r="48" spans="1:5">
      <c r="A48">
        <v>2016</v>
      </c>
      <c r="B48" t="s">
        <v>21</v>
      </c>
      <c r="C48" s="1">
        <v>98208</v>
      </c>
      <c r="D48" s="2">
        <v>52560.254999999997</v>
      </c>
      <c r="E48" s="3">
        <f t="shared" si="1"/>
        <v>0.53519321236559136</v>
      </c>
    </row>
    <row r="49" spans="1:5">
      <c r="A49">
        <v>2016</v>
      </c>
      <c r="B49" t="s">
        <v>10</v>
      </c>
      <c r="C49" s="1">
        <v>145191</v>
      </c>
      <c r="D49" s="2">
        <v>66651.98</v>
      </c>
      <c r="E49" s="3">
        <f t="shared" si="1"/>
        <v>0.4590641293193104</v>
      </c>
    </row>
    <row r="50" spans="1:5">
      <c r="A50">
        <v>2016</v>
      </c>
      <c r="B50" t="s">
        <v>15</v>
      </c>
      <c r="C50" s="1">
        <v>85606</v>
      </c>
      <c r="D50" s="2">
        <v>28088.991999999998</v>
      </c>
      <c r="E50" s="3">
        <f t="shared" si="1"/>
        <v>0.32811943088101297</v>
      </c>
    </row>
    <row r="51" spans="1:5">
      <c r="A51">
        <v>2016</v>
      </c>
      <c r="B51" t="s">
        <v>192</v>
      </c>
      <c r="C51" s="1">
        <v>215060</v>
      </c>
      <c r="D51" s="2">
        <v>18741.964</v>
      </c>
      <c r="E51" s="3">
        <f t="shared" si="1"/>
        <v>8.7147605319445737E-2</v>
      </c>
    </row>
    <row r="52" spans="1:5">
      <c r="A52">
        <v>2017</v>
      </c>
      <c r="B52" t="s">
        <v>24</v>
      </c>
      <c r="C52" s="1">
        <v>125290</v>
      </c>
      <c r="D52" s="2">
        <v>90591.024999999994</v>
      </c>
      <c r="E52" s="3">
        <f t="shared" si="1"/>
        <v>0.72305072232420775</v>
      </c>
    </row>
    <row r="53" spans="1:5">
      <c r="A53">
        <v>2017</v>
      </c>
      <c r="B53" t="s">
        <v>188</v>
      </c>
      <c r="C53" s="1">
        <v>29959</v>
      </c>
      <c r="D53" s="2">
        <v>10676.07</v>
      </c>
      <c r="E53" s="3">
        <f t="shared" si="1"/>
        <v>0.3563560198938549</v>
      </c>
    </row>
    <row r="54" spans="1:5">
      <c r="A54">
        <v>2017</v>
      </c>
      <c r="B54" t="s">
        <v>21</v>
      </c>
      <c r="C54" s="1">
        <v>73822</v>
      </c>
      <c r="D54" s="2">
        <v>42451.133000000002</v>
      </c>
      <c r="E54" s="3">
        <f t="shared" si="1"/>
        <v>0.57504718105713748</v>
      </c>
    </row>
    <row r="55" spans="1:5">
      <c r="A55">
        <v>2017</v>
      </c>
      <c r="B55" t="s">
        <v>10</v>
      </c>
      <c r="C55" s="1">
        <v>61808</v>
      </c>
      <c r="D55" s="2">
        <v>33232.364000000001</v>
      </c>
      <c r="E55" s="3">
        <f t="shared" si="1"/>
        <v>0.53767091638622833</v>
      </c>
    </row>
    <row r="56" spans="1:5">
      <c r="A56">
        <v>2017</v>
      </c>
      <c r="B56" t="s">
        <v>15</v>
      </c>
      <c r="C56" s="1">
        <v>74782</v>
      </c>
      <c r="D56" s="2">
        <v>36197.375</v>
      </c>
      <c r="E56" s="3">
        <f t="shared" si="1"/>
        <v>0.48403860554678935</v>
      </c>
    </row>
    <row r="57" spans="1:5">
      <c r="A57">
        <v>2017</v>
      </c>
      <c r="B57" t="s">
        <v>192</v>
      </c>
      <c r="C57" s="1">
        <v>61636</v>
      </c>
      <c r="D57" s="2">
        <v>9365.0360000000001</v>
      </c>
      <c r="E57" s="3">
        <f t="shared" si="1"/>
        <v>0.15194100850152509</v>
      </c>
    </row>
  </sheetData>
  <autoFilter ref="A1:E57" xr:uid="{C0361C24-3D05-4E9B-9975-EDB80FD223EA}">
    <sortState xmlns:xlrd2="http://schemas.microsoft.com/office/spreadsheetml/2017/richdata2" ref="A2:E57">
      <sortCondition ref="A1"/>
    </sortState>
  </autoFilter>
  <pageMargins left="0" right="0" top="0.39409448818897641" bottom="0.39409448818897641" header="0" footer="0"/>
  <headerFooter>
    <oddHeader>&amp;C&amp;A</oddHeader>
    <oddFooter>&amp;CPagina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>
      <selection activeCell="C8" sqref="C8"/>
    </sheetView>
  </sheetViews>
  <sheetFormatPr defaultRowHeight="13.9"/>
  <cols>
    <col min="1" max="1" width="20.625" bestFit="1" customWidth="1"/>
    <col min="2" max="2" width="8.75" bestFit="1" customWidth="1"/>
    <col min="3" max="3" width="12.375" style="4" bestFit="1" customWidth="1"/>
  </cols>
  <sheetData>
    <row r="1" spans="1:3">
      <c r="A1" s="5" t="s">
        <v>104</v>
      </c>
      <c r="B1" s="5" t="s">
        <v>105</v>
      </c>
      <c r="C1" s="9" t="s">
        <v>195</v>
      </c>
    </row>
    <row r="2" spans="1:3">
      <c r="A2" t="s">
        <v>196</v>
      </c>
      <c r="B2">
        <v>2010</v>
      </c>
      <c r="C2" s="4">
        <v>13585</v>
      </c>
    </row>
    <row r="3" spans="1:3">
      <c r="A3" t="s">
        <v>197</v>
      </c>
      <c r="B3">
        <v>2010</v>
      </c>
      <c r="C3" s="4">
        <v>942</v>
      </c>
    </row>
    <row r="4" spans="1:3">
      <c r="A4" t="s">
        <v>198</v>
      </c>
      <c r="B4">
        <v>2010</v>
      </c>
      <c r="C4" s="4">
        <v>650</v>
      </c>
    </row>
    <row r="5" spans="1:3">
      <c r="A5" t="s">
        <v>196</v>
      </c>
      <c r="B5">
        <v>2011</v>
      </c>
      <c r="C5" s="4">
        <v>34086</v>
      </c>
    </row>
    <row r="6" spans="1:3">
      <c r="A6" t="s">
        <v>197</v>
      </c>
      <c r="B6">
        <v>2011</v>
      </c>
      <c r="C6" s="4">
        <v>2609</v>
      </c>
    </row>
    <row r="7" spans="1:3">
      <c r="A7" t="s">
        <v>198</v>
      </c>
      <c r="B7">
        <v>2011</v>
      </c>
      <c r="C7" s="4">
        <v>2634</v>
      </c>
    </row>
    <row r="8" spans="1:3">
      <c r="A8" t="s">
        <v>196</v>
      </c>
      <c r="B8">
        <v>2012</v>
      </c>
      <c r="C8" s="4">
        <v>22567</v>
      </c>
    </row>
    <row r="9" spans="1:3">
      <c r="A9" t="s">
        <v>197</v>
      </c>
      <c r="B9">
        <v>2012</v>
      </c>
      <c r="C9" s="4">
        <v>1593</v>
      </c>
    </row>
    <row r="10" spans="1:3">
      <c r="A10" t="s">
        <v>198</v>
      </c>
      <c r="B10">
        <v>2012</v>
      </c>
      <c r="C10" s="4">
        <v>899</v>
      </c>
    </row>
    <row r="11" spans="1:3">
      <c r="A11" t="s">
        <v>196</v>
      </c>
      <c r="B11">
        <v>2013</v>
      </c>
      <c r="C11" s="4">
        <v>27781</v>
      </c>
    </row>
    <row r="12" spans="1:3">
      <c r="A12" t="s">
        <v>197</v>
      </c>
      <c r="B12">
        <v>2013</v>
      </c>
      <c r="C12" s="4">
        <v>2160</v>
      </c>
    </row>
    <row r="13" spans="1:3">
      <c r="A13" t="s">
        <v>198</v>
      </c>
      <c r="B13">
        <v>2013</v>
      </c>
      <c r="C13" s="4">
        <v>2415</v>
      </c>
    </row>
    <row r="14" spans="1:3">
      <c r="A14" t="s">
        <v>196</v>
      </c>
      <c r="B14">
        <v>2014</v>
      </c>
      <c r="C14" s="4">
        <v>34974</v>
      </c>
    </row>
    <row r="15" spans="1:3">
      <c r="A15" t="s">
        <v>197</v>
      </c>
      <c r="B15">
        <v>2014</v>
      </c>
      <c r="C15" s="4">
        <v>2608</v>
      </c>
    </row>
    <row r="16" spans="1:3">
      <c r="A16" t="s">
        <v>198</v>
      </c>
      <c r="B16">
        <v>2014</v>
      </c>
      <c r="C16" s="4">
        <v>3984</v>
      </c>
    </row>
    <row r="17" spans="1:3">
      <c r="A17" t="s">
        <v>196</v>
      </c>
      <c r="B17">
        <v>2015</v>
      </c>
      <c r="C17" s="4">
        <v>48632</v>
      </c>
    </row>
    <row r="18" spans="1:3">
      <c r="A18" t="s">
        <v>197</v>
      </c>
      <c r="B18">
        <v>2015</v>
      </c>
      <c r="C18" s="4">
        <v>3349</v>
      </c>
    </row>
    <row r="19" spans="1:3">
      <c r="A19" t="s">
        <v>198</v>
      </c>
      <c r="B19">
        <v>2015</v>
      </c>
      <c r="C19" s="4">
        <v>5009</v>
      </c>
    </row>
    <row r="20" spans="1:3">
      <c r="A20" t="s">
        <v>196</v>
      </c>
      <c r="B20">
        <v>2016</v>
      </c>
      <c r="C20" s="4">
        <v>33096</v>
      </c>
    </row>
    <row r="21" spans="1:3">
      <c r="A21" t="s">
        <v>197</v>
      </c>
      <c r="B21">
        <v>2016</v>
      </c>
      <c r="C21" s="4">
        <v>2190</v>
      </c>
    </row>
    <row r="22" spans="1:3">
      <c r="A22" t="s">
        <v>198</v>
      </c>
      <c r="B22">
        <v>2016</v>
      </c>
      <c r="C22" s="4">
        <v>3909</v>
      </c>
    </row>
  </sheetData>
  <pageMargins left="0" right="0" top="0.39409448818897641" bottom="0.39409448818897641" header="0" footer="0"/>
  <pageSetup paperSize="9" orientation="portrait" verticalDpi="0" r:id="rId1"/>
  <headerFooter>
    <oddHeader>&amp;C&amp;A</oddHeader>
    <oddFooter>&amp;CPagina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8B60A-E215-4458-8189-602F7A3235E8}">
  <dimension ref="A1:A11"/>
  <sheetViews>
    <sheetView workbookViewId="0">
      <selection activeCell="B19" sqref="B19"/>
    </sheetView>
  </sheetViews>
  <sheetFormatPr defaultRowHeight="13.9"/>
  <cols>
    <col min="1" max="1" width="18.375" bestFit="1" customWidth="1"/>
  </cols>
  <sheetData>
    <row r="1" spans="1:1">
      <c r="A1" s="5" t="s">
        <v>3</v>
      </c>
    </row>
    <row r="2" spans="1:1">
      <c r="A2" t="s">
        <v>194</v>
      </c>
    </row>
    <row r="3" spans="1:1">
      <c r="A3" t="s">
        <v>193</v>
      </c>
    </row>
    <row r="4" spans="1:1">
      <c r="A4" t="s">
        <v>10</v>
      </c>
    </row>
    <row r="5" spans="1:1">
      <c r="A5" t="s">
        <v>15</v>
      </c>
    </row>
    <row r="6" spans="1:1">
      <c r="A6" t="s">
        <v>21</v>
      </c>
    </row>
    <row r="7" spans="1:1">
      <c r="A7" t="s">
        <v>191</v>
      </c>
    </row>
    <row r="8" spans="1:1">
      <c r="A8" t="s">
        <v>60</v>
      </c>
    </row>
    <row r="9" spans="1:1">
      <c r="A9" t="s">
        <v>24</v>
      </c>
    </row>
    <row r="10" spans="1:1">
      <c r="A10" t="s">
        <v>192</v>
      </c>
    </row>
    <row r="11" spans="1:1">
      <c r="A11" t="s">
        <v>188</v>
      </c>
    </row>
  </sheetData>
  <sortState xmlns:xlrd2="http://schemas.microsoft.com/office/spreadsheetml/2017/richdata2" ref="A2:A11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99CBCD249F7A4EAA2A126A2746BCAB" ma:contentTypeVersion="3" ma:contentTypeDescription="Een nieuw document maken." ma:contentTypeScope="" ma:versionID="1e311bc43b1dbd91192d639ae0f92596">
  <xsd:schema xmlns:xsd="http://www.w3.org/2001/XMLSchema" xmlns:xs="http://www.w3.org/2001/XMLSchema" xmlns:p="http://schemas.microsoft.com/office/2006/metadata/properties" xmlns:ns2="e81ebe3f-c85b-4b68-ae78-d137ae8430e9" targetNamespace="http://schemas.microsoft.com/office/2006/metadata/properties" ma:root="true" ma:fieldsID="638f04d8ab814d0334d5833357487c82" ns2:_="">
    <xsd:import namespace="e81ebe3f-c85b-4b68-ae78-d137ae8430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1ebe3f-c85b-4b68-ae78-d137ae8430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FF63BB-A50E-48C3-BA96-FADC6E43770E}"/>
</file>

<file path=customXml/itemProps2.xml><?xml version="1.0" encoding="utf-8"?>
<ds:datastoreItem xmlns:ds="http://schemas.openxmlformats.org/officeDocument/2006/customXml" ds:itemID="{F067E784-9774-418A-BF8C-B1494AE509D5}"/>
</file>

<file path=customXml/itemProps3.xml><?xml version="1.0" encoding="utf-8"?>
<ds:datastoreItem xmlns:ds="http://schemas.openxmlformats.org/officeDocument/2006/customXml" ds:itemID="{86D4CC98-93C3-4534-A595-84D40099B8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Debets</dc:creator>
  <cp:keywords/>
  <dc:description/>
  <cp:lastModifiedBy>Oscar Bakker (2300319)</cp:lastModifiedBy>
  <cp:revision>2</cp:revision>
  <dcterms:created xsi:type="dcterms:W3CDTF">2018-02-18T09:34:01Z</dcterms:created>
  <dcterms:modified xsi:type="dcterms:W3CDTF">2026-02-24T10:09:33Z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0x0101006199CBCD249F7A4EAA2A126A2746BCAB</vt:lpwstr>
  </property>
</Properties>
</file>